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98" yWindow="318" windowWidth="17112" windowHeight="6134"/>
  </bookViews>
  <sheets>
    <sheet name="Hoja auxiliar" sheetId="1" r:id="rId1"/>
  </sheets>
  <calcPr calcId="125725"/>
</workbook>
</file>

<file path=xl/calcChain.xml><?xml version="1.0" encoding="utf-8"?>
<calcChain xmlns="http://schemas.openxmlformats.org/spreadsheetml/2006/main">
  <c r="P50" i="1"/>
  <c r="O50"/>
  <c r="N50"/>
  <c r="M50"/>
  <c r="L50"/>
  <c r="K50"/>
  <c r="J50"/>
  <c r="I50"/>
  <c r="H50"/>
  <c r="G50"/>
  <c r="F50"/>
  <c r="E50"/>
  <c r="Q50" s="1"/>
  <c r="P48"/>
  <c r="O48"/>
  <c r="N48"/>
  <c r="M48"/>
  <c r="L48"/>
  <c r="K48"/>
  <c r="J48"/>
  <c r="I48"/>
  <c r="H48"/>
  <c r="G48"/>
  <c r="F48"/>
  <c r="E48"/>
  <c r="Q48" s="1"/>
  <c r="F40"/>
  <c r="G40" s="1"/>
  <c r="H40" s="1"/>
  <c r="I40" s="1"/>
  <c r="J40" s="1"/>
  <c r="K40" s="1"/>
  <c r="L40" s="1"/>
  <c r="M40" s="1"/>
  <c r="N40" s="1"/>
  <c r="O40" s="1"/>
  <c r="P40" s="1"/>
  <c r="E40"/>
  <c r="Q39"/>
  <c r="P39"/>
  <c r="O39"/>
  <c r="N39"/>
  <c r="M39"/>
  <c r="L39"/>
  <c r="K39"/>
  <c r="J39"/>
  <c r="I39"/>
  <c r="H39"/>
  <c r="G39"/>
  <c r="F39"/>
  <c r="E39"/>
  <c r="K38"/>
  <c r="L38" s="1"/>
  <c r="M38" s="1"/>
  <c r="N38" s="1"/>
  <c r="O38" s="1"/>
  <c r="P38" s="1"/>
  <c r="J38"/>
  <c r="I38"/>
  <c r="H38"/>
  <c r="G38"/>
  <c r="F38"/>
  <c r="E38"/>
  <c r="Q37"/>
  <c r="P37"/>
  <c r="O37"/>
  <c r="N37"/>
  <c r="M37"/>
  <c r="L37"/>
  <c r="K37"/>
  <c r="J37"/>
  <c r="I37"/>
  <c r="H37"/>
  <c r="G37"/>
  <c r="F37"/>
  <c r="E37"/>
  <c r="P28"/>
  <c r="O28"/>
  <c r="N28"/>
  <c r="M28"/>
  <c r="L28"/>
  <c r="K28"/>
  <c r="J28"/>
  <c r="I28"/>
  <c r="H28"/>
  <c r="G28"/>
  <c r="F28"/>
  <c r="E28"/>
  <c r="Q28" s="1"/>
  <c r="P26"/>
  <c r="O26"/>
  <c r="N26"/>
  <c r="M26"/>
  <c r="L26"/>
  <c r="K26"/>
  <c r="J26"/>
  <c r="I26"/>
  <c r="H26"/>
  <c r="G26"/>
  <c r="F26"/>
  <c r="E26"/>
  <c r="Q26" s="1"/>
  <c r="E17"/>
  <c r="F14" s="1"/>
  <c r="P14"/>
  <c r="O14"/>
  <c r="N14"/>
  <c r="M14"/>
  <c r="L14"/>
  <c r="K14"/>
  <c r="J14"/>
  <c r="I14"/>
  <c r="H14"/>
  <c r="G14"/>
  <c r="E14"/>
  <c r="Q14" l="1"/>
  <c r="E49"/>
  <c r="F49" s="1"/>
  <c r="G49" s="1"/>
  <c r="H49" s="1"/>
  <c r="I49" s="1"/>
  <c r="J49" s="1"/>
  <c r="K49" s="1"/>
  <c r="L49" s="1"/>
  <c r="M49" s="1"/>
  <c r="N49" s="1"/>
  <c r="O49" s="1"/>
  <c r="P49" s="1"/>
  <c r="E51"/>
  <c r="F51" s="1"/>
  <c r="G51" s="1"/>
  <c r="H51" s="1"/>
  <c r="I51" s="1"/>
  <c r="J51" s="1"/>
  <c r="K51" s="1"/>
  <c r="L51" s="1"/>
  <c r="M51" s="1"/>
  <c r="N51" s="1"/>
  <c r="O51" s="1"/>
  <c r="P51" s="1"/>
  <c r="E16"/>
  <c r="F16" s="1"/>
  <c r="E27"/>
  <c r="F27" s="1"/>
  <c r="G27" s="1"/>
  <c r="H27" s="1"/>
  <c r="I27" s="1"/>
  <c r="J27" s="1"/>
  <c r="K27" s="1"/>
  <c r="L27" s="1"/>
  <c r="M27" s="1"/>
  <c r="N27" s="1"/>
  <c r="O27" s="1"/>
  <c r="P27" s="1"/>
  <c r="E29"/>
  <c r="F29" s="1"/>
  <c r="G29" s="1"/>
  <c r="H29" s="1"/>
  <c r="I29" s="1"/>
  <c r="J29" s="1"/>
  <c r="K29" s="1"/>
  <c r="L29" s="1"/>
  <c r="M29" s="1"/>
  <c r="N29" s="1"/>
  <c r="O29" s="1"/>
  <c r="P29" s="1"/>
  <c r="F12" l="1"/>
  <c r="G16"/>
  <c r="F17" l="1"/>
  <c r="G17" s="1"/>
  <c r="G12"/>
  <c r="H16"/>
  <c r="H12" l="1"/>
  <c r="I16"/>
  <c r="U5" l="1"/>
  <c r="I12"/>
  <c r="J16"/>
  <c r="H17"/>
  <c r="K16" l="1"/>
  <c r="J12"/>
  <c r="I17"/>
  <c r="L16" l="1"/>
  <c r="K12"/>
  <c r="J17"/>
  <c r="K17" l="1"/>
  <c r="L17" s="1"/>
  <c r="L12"/>
  <c r="M16"/>
  <c r="M12" l="1"/>
  <c r="M17" s="1"/>
  <c r="N16"/>
  <c r="N17" l="1"/>
  <c r="N12"/>
  <c r="O16"/>
  <c r="P16" l="1"/>
  <c r="P12" s="1"/>
  <c r="Q12" s="1"/>
  <c r="O12"/>
  <c r="O17" s="1"/>
  <c r="P17" s="1"/>
</calcChain>
</file>

<file path=xl/comments1.xml><?xml version="1.0" encoding="utf-8"?>
<comments xmlns="http://schemas.openxmlformats.org/spreadsheetml/2006/main">
  <authors>
    <author>vn</author>
  </authors>
  <commentList>
    <comment ref="G12" authorId="0">
      <text>
        <r>
          <rPr>
            <b/>
            <sz val="9"/>
            <color indexed="81"/>
            <rFont val="Tahoma"/>
            <family val="2"/>
          </rPr>
          <t>vn:</t>
        </r>
        <r>
          <rPr>
            <sz val="9"/>
            <color indexed="81"/>
            <rFont val="Tahoma"/>
            <family val="2"/>
          </rPr>
          <t xml:space="preserve">
es la dif entre saldos de ambos meses en mon const, menos la dif entre AXI acumulado en ambos meses  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vn:</t>
        </r>
        <r>
          <rPr>
            <sz val="9"/>
            <color indexed="81"/>
            <rFont val="Tahoma"/>
            <family val="2"/>
          </rPr>
          <t xml:space="preserve">
en enero el AXI es siempre cero</t>
        </r>
      </text>
    </comment>
    <comment ref="E24" authorId="0">
      <text>
        <r>
          <rPr>
            <b/>
            <sz val="9"/>
            <color indexed="81"/>
            <rFont val="Tahoma"/>
            <family val="2"/>
          </rPr>
          <t>vn:</t>
        </r>
        <r>
          <rPr>
            <sz val="9"/>
            <color indexed="81"/>
            <rFont val="Tahoma"/>
            <family val="2"/>
          </rPr>
          <t xml:space="preserve">
en enero el AXI es siempre cero</t>
        </r>
      </text>
    </comment>
    <comment ref="E35" authorId="0">
      <text>
        <r>
          <rPr>
            <b/>
            <sz val="9"/>
            <color indexed="81"/>
            <rFont val="Tahoma"/>
            <family val="2"/>
          </rPr>
          <t>vn:</t>
        </r>
        <r>
          <rPr>
            <sz val="9"/>
            <color indexed="81"/>
            <rFont val="Tahoma"/>
            <family val="2"/>
          </rPr>
          <t xml:space="preserve">
en enero el AXI es siempre cero</t>
        </r>
      </text>
    </comment>
    <comment ref="E46" authorId="0">
      <text>
        <r>
          <rPr>
            <b/>
            <sz val="9"/>
            <color indexed="81"/>
            <rFont val="Tahoma"/>
            <family val="2"/>
          </rPr>
          <t>vn:</t>
        </r>
        <r>
          <rPr>
            <sz val="9"/>
            <color indexed="81"/>
            <rFont val="Tahoma"/>
            <family val="2"/>
          </rPr>
          <t xml:space="preserve">
en enero el AXI es siempre cero</t>
        </r>
      </text>
    </comment>
  </commentList>
</comments>
</file>

<file path=xl/sharedStrings.xml><?xml version="1.0" encoding="utf-8"?>
<sst xmlns="http://schemas.openxmlformats.org/spreadsheetml/2006/main" count="322" uniqueCount="111">
  <si>
    <t xml:space="preserve">PRUEBA DE LA APP  CON UN BALANCE QUE TIENE UNA SOLA CUENTA , que tiene una sola cuenta </t>
  </si>
  <si>
    <t/>
  </si>
  <si>
    <t>% del Coeficiente AXI</t>
  </si>
  <si>
    <t>Entidad</t>
  </si>
  <si>
    <t>Nombre Entidad</t>
  </si>
  <si>
    <t>Cuenta</t>
  </si>
  <si>
    <t>Descripción Cuenta</t>
  </si>
  <si>
    <t>01-2022 Saldo en moneda constante</t>
  </si>
  <si>
    <t>01-2022 Saldo Histórico solo del mes</t>
  </si>
  <si>
    <t>01-2022 Saldo Histórico acumulado al mes</t>
  </si>
  <si>
    <t>01-2022 AXI mensual solo del mes</t>
  </si>
  <si>
    <t>01-2022 AXI acumulado al mes</t>
  </si>
  <si>
    <t>02-2022 Saldo en moneda constante</t>
  </si>
  <si>
    <t>02-2022 Saldo Histórico solo del mes</t>
  </si>
  <si>
    <t>02-2022 Saldo Histórico acumulado al mes</t>
  </si>
  <si>
    <t>02-2022 AXI mensual solo del mes</t>
  </si>
  <si>
    <t>02-2022 AXI acumulado al mes</t>
  </si>
  <si>
    <t>03-2022 Saldo en moneda constante</t>
  </si>
  <si>
    <t>03-2022 Saldo Histórico solo del mes</t>
  </si>
  <si>
    <t>03-2022 Saldo Histórico acumulado al mes</t>
  </si>
  <si>
    <t>03-2022 AXI mensual solo del mes</t>
  </si>
  <si>
    <t>03-2022 AXI acumulado al mes</t>
  </si>
  <si>
    <t>04-2022 Saldo en moneda constante</t>
  </si>
  <si>
    <t>04-2022 Saldo Histórico solo del mes</t>
  </si>
  <si>
    <t>04-2022 Saldo Histórico acumulado al mes</t>
  </si>
  <si>
    <t>04-2022 AXI mensual solo del mes</t>
  </si>
  <si>
    <t>04-2022 AXI acumulado al mes</t>
  </si>
  <si>
    <t>05-2022 Saldo en moneda constante</t>
  </si>
  <si>
    <t>05-2022 Saldo Histórico solo del mes</t>
  </si>
  <si>
    <t>05-2022 Saldo Histórico acumulado al mes</t>
  </si>
  <si>
    <t>05-2022 AXI mensual solo del mes</t>
  </si>
  <si>
    <t>05-2022 AXI acumulado al mes</t>
  </si>
  <si>
    <t>06-2022 Saldo en moneda constante</t>
  </si>
  <si>
    <t>06-2022 Saldo Histórico solo del mes</t>
  </si>
  <si>
    <t>06-2022 Saldo Histórico acumulado al mes</t>
  </si>
  <si>
    <t>06-2022 AXI mensual solo del mes</t>
  </si>
  <si>
    <t>06-2022 AXI acumulado al mes</t>
  </si>
  <si>
    <t>07-2022 Saldo en moneda constante</t>
  </si>
  <si>
    <t>07-2022 Saldo Histórico solo del mes</t>
  </si>
  <si>
    <t>07-2022 Saldo Histórico acumulado al mes</t>
  </si>
  <si>
    <t>07-2022 AXI mensual solo del mes</t>
  </si>
  <si>
    <t>07-2022 AXI acumulado al mes</t>
  </si>
  <si>
    <t>08-2022 Saldo en moneda constante</t>
  </si>
  <si>
    <t>08-2022 Saldo Histórico solo del mes</t>
  </si>
  <si>
    <t>08-2022 Saldo Histórico acumulado al mes</t>
  </si>
  <si>
    <t>08-2022 AXI mensual solo del mes</t>
  </si>
  <si>
    <t>08-2022 AXI acumulado al mes</t>
  </si>
  <si>
    <t>09-2022 Saldo en moneda constante</t>
  </si>
  <si>
    <t>09-2022 Saldo Histórico solo del mes</t>
  </si>
  <si>
    <t>09-2022 Saldo Histórico acumulado al mes</t>
  </si>
  <si>
    <t>09-2022 AXI mensual solo del mes</t>
  </si>
  <si>
    <t>09-2022 AXI acumulado al mes</t>
  </si>
  <si>
    <t>10-2022 Saldo en moneda constante</t>
  </si>
  <si>
    <t>10-2022 Saldo Histórico solo del mes</t>
  </si>
  <si>
    <t>10-2022 Saldo Histórico acumulado al mes</t>
  </si>
  <si>
    <t>10-2022 AXI mensual solo del mes</t>
  </si>
  <si>
    <t>10-2022 AXI acumulado al mes</t>
  </si>
  <si>
    <t>11-2022 Saldo en moneda constante</t>
  </si>
  <si>
    <t>11-2022 Saldo Histórico solo del mes</t>
  </si>
  <si>
    <t>11-2022 Saldo Histórico acumulado al mes</t>
  </si>
  <si>
    <t>11-2022 AXI mensual solo del mes</t>
  </si>
  <si>
    <t>11-2022 AXI acumulado al mes</t>
  </si>
  <si>
    <t>12-2022 Saldo en moneda constante</t>
  </si>
  <si>
    <t>12-2022 Saldo Histórico solo del mes</t>
  </si>
  <si>
    <t>12-2022 Saldo Histórico acumulado al mes</t>
  </si>
  <si>
    <t>12-2022 AXI mensual solo del mes</t>
  </si>
  <si>
    <t>12-2022 AXI acumulado al mes</t>
  </si>
  <si>
    <t>BANCO DE COMERCIO S.A.</t>
  </si>
  <si>
    <t>INTERESES X PREST.SECTOR FINANC</t>
  </si>
  <si>
    <t>Posicionándose sobre la celda respectiva, se podrá ver la fórmula contenida</t>
  </si>
  <si>
    <t>Lógica de cálculo implementada por el BANCO:    parte del Saldo histórico sólo del mes</t>
  </si>
  <si>
    <t>Dato o Variable a calcular</t>
  </si>
  <si>
    <t>Descripción</t>
  </si>
  <si>
    <t>ene</t>
  </si>
  <si>
    <t>feb</t>
  </si>
  <si>
    <t>mar</t>
  </si>
  <si>
    <t>april</t>
  </si>
  <si>
    <t>may</t>
  </si>
  <si>
    <t>jun</t>
  </si>
  <si>
    <t>jul</t>
  </si>
  <si>
    <t>aug</t>
  </si>
  <si>
    <t>sept</t>
  </si>
  <si>
    <t>oct</t>
  </si>
  <si>
    <t>nov</t>
  </si>
  <si>
    <t>dec</t>
  </si>
  <si>
    <t>Total acumulado en el año</t>
  </si>
  <si>
    <t>Dato de partida</t>
  </si>
  <si>
    <t>Saldo Histórico solo del mes</t>
  </si>
  <si>
    <t>OK</t>
  </si>
  <si>
    <t>Dato provisto en archivo indices.xlsx</t>
  </si>
  <si>
    <t>% Coef AXI solo del mes</t>
  </si>
  <si>
    <t>Variable a calcular</t>
  </si>
  <si>
    <t>AXI mensual solo del mes</t>
  </si>
  <si>
    <t>AXI acumulado al mes</t>
  </si>
  <si>
    <t>Saldo Histórico acumulado al mes</t>
  </si>
  <si>
    <t>Dato provisto en archivo balhist.xlsx</t>
  </si>
  <si>
    <t>Saldo Acumulado en Moneda Constante</t>
  </si>
  <si>
    <t>Lógica de cálculo implementada en la App:    parte del dato provisto por el BCRA, el balance en moneda constante</t>
  </si>
  <si>
    <r>
      <rPr>
        <b/>
        <sz val="9"/>
        <color rgb="FFFF0000"/>
        <rFont val="Calibri"/>
        <family val="2"/>
        <scheme val="minor"/>
      </rPr>
      <t>Dato</t>
    </r>
    <r>
      <rPr>
        <b/>
        <sz val="9"/>
        <color theme="1"/>
        <rFont val="Calibri"/>
        <family val="2"/>
        <scheme val="minor"/>
      </rPr>
      <t xml:space="preserve"> de partida provisto en archivo </t>
    </r>
    <r>
      <rPr>
        <b/>
        <sz val="9"/>
        <color rgb="FFFF0000"/>
        <rFont val="Calibri"/>
        <family val="2"/>
        <scheme val="minor"/>
      </rPr>
      <t>balhist</t>
    </r>
    <r>
      <rPr>
        <b/>
        <sz val="9"/>
        <color theme="1"/>
        <rFont val="Calibri"/>
        <family val="2"/>
        <scheme val="minor"/>
      </rPr>
      <t>.xlsx</t>
    </r>
  </si>
  <si>
    <r>
      <rPr>
        <b/>
        <sz val="9"/>
        <color rgb="FFFF0000"/>
        <rFont val="Calibri"/>
        <family val="2"/>
        <scheme val="minor"/>
      </rPr>
      <t xml:space="preserve">Dato </t>
    </r>
    <r>
      <rPr>
        <b/>
        <sz val="9"/>
        <color theme="1"/>
        <rFont val="Calibri"/>
        <family val="2"/>
        <scheme val="minor"/>
      </rPr>
      <t xml:space="preserve">provisto en archivo </t>
    </r>
    <r>
      <rPr>
        <b/>
        <sz val="9"/>
        <color rgb="FFFF0000"/>
        <rFont val="Calibri"/>
        <family val="2"/>
        <scheme val="minor"/>
      </rPr>
      <t>indices</t>
    </r>
    <r>
      <rPr>
        <b/>
        <sz val="9"/>
        <color theme="1"/>
        <rFont val="Calibri"/>
        <family val="2"/>
        <scheme val="minor"/>
      </rPr>
      <t>.xlsx</t>
    </r>
  </si>
  <si>
    <t>CASO REAL: Lógica de cálculo implementada en la App:   seleccionado la cuenta del Banco Morgan 560003 del año 2024, para PROBAR</t>
  </si>
  <si>
    <t>OTRO CASO REAL: Lógica de cálculo implementada en la App:   seleccionado la cuenta del Banco Morgan 560006 del año 2024, para PROBAR</t>
  </si>
  <si>
    <t>Para las 2 cuentas seleccionadas para esta prueba, esto es lo que la App devuelve, lo cual coindice con el cálculo realizado en esta hoja de Excel</t>
  </si>
  <si>
    <t>es realmente la variación de saldos en el mes; no es acumulado mensual</t>
  </si>
  <si>
    <t>es realmente el acumulado mensual</t>
  </si>
  <si>
    <t>es realmente la variación de AXI en el mes; no es acumulado mensual</t>
  </si>
  <si>
    <t>variable a calcular</t>
  </si>
  <si>
    <t xml:space="preserve"> Saldo Histórico acumulado al mes</t>
  </si>
  <si>
    <t>PRUEBA DE LA APP  CON UN BALANCE QUE TIENE UNA SOLA CUENTA, 511104:</t>
  </si>
  <si>
    <t xml:space="preserve">ejemplo de balhist.txt: </t>
  </si>
  <si>
    <t>ENTEROS</t>
  </si>
</sst>
</file>

<file path=xl/styles.xml><?xml version="1.0" encoding="utf-8"?>
<styleSheet xmlns="http://schemas.openxmlformats.org/spreadsheetml/2006/main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\-#,##0.00\ "/>
    <numFmt numFmtId="165" formatCode="_-* #,##0_-;\-* #,##0_-;_-* &quot;-&quot;??_-;_-@_-"/>
    <numFmt numFmtId="166" formatCode="0.0000%"/>
    <numFmt numFmtId="167" formatCode="_ * #,##0.00_ ;_ * \-#,##0.00_ ;_ * &quot;-&quot;??_ ;_ @_ 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u/>
      <sz val="9.9"/>
      <color theme="10"/>
      <name val="Calibri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5" fillId="0" borderId="0"/>
    <xf numFmtId="0" fontId="16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4" fillId="0" borderId="1" xfId="0" applyNumberFormat="1" applyFont="1" applyBorder="1"/>
    <xf numFmtId="0" fontId="4" fillId="0" borderId="1" xfId="0" applyNumberFormat="1" applyFont="1" applyBorder="1" applyAlignment="1">
      <alignment horizontal="left"/>
    </xf>
    <xf numFmtId="0" fontId="5" fillId="2" borderId="1" xfId="0" applyNumberFormat="1" applyFont="1" applyFill="1" applyBorder="1" applyAlignment="1">
      <alignment horizontal="left"/>
    </xf>
    <xf numFmtId="0" fontId="4" fillId="2" borderId="0" xfId="0" applyNumberFormat="1" applyFont="1" applyFill="1"/>
    <xf numFmtId="0" fontId="4" fillId="2" borderId="1" xfId="0" applyNumberFormat="1" applyFont="1" applyFill="1" applyBorder="1"/>
    <xf numFmtId="0" fontId="4" fillId="3" borderId="1" xfId="0" applyNumberFormat="1" applyFont="1" applyFill="1" applyBorder="1"/>
    <xf numFmtId="0" fontId="4" fillId="0" borderId="0" xfId="0" applyNumberFormat="1" applyFont="1"/>
    <xf numFmtId="0" fontId="6" fillId="0" borderId="1" xfId="0" applyNumberFormat="1" applyFont="1" applyBorder="1" applyAlignment="1">
      <alignment horizontal="right"/>
    </xf>
    <xf numFmtId="10" fontId="4" fillId="4" borderId="1" xfId="0" applyNumberFormat="1" applyFont="1" applyFill="1" applyBorder="1"/>
    <xf numFmtId="10" fontId="4" fillId="3" borderId="1" xfId="0" applyNumberFormat="1" applyFont="1" applyFill="1" applyBorder="1"/>
    <xf numFmtId="10" fontId="4" fillId="5" borderId="1" xfId="0" applyNumberFormat="1" applyFont="1" applyFill="1" applyBorder="1"/>
    <xf numFmtId="10" fontId="4" fillId="0" borderId="1" xfId="0" applyNumberFormat="1" applyFont="1" applyBorder="1"/>
    <xf numFmtId="0" fontId="4" fillId="0" borderId="2" xfId="0" applyNumberFormat="1" applyFont="1" applyBorder="1"/>
    <xf numFmtId="0" fontId="4" fillId="6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/>
    </xf>
    <xf numFmtId="43" fontId="4" fillId="4" borderId="1" xfId="1" applyFont="1" applyFill="1" applyBorder="1"/>
    <xf numFmtId="43" fontId="4" fillId="7" borderId="1" xfId="1" applyFont="1" applyFill="1" applyBorder="1"/>
    <xf numFmtId="43" fontId="4" fillId="3" borderId="1" xfId="1" applyFont="1" applyFill="1" applyBorder="1"/>
    <xf numFmtId="43" fontId="4" fillId="5" borderId="1" xfId="1" applyFont="1" applyFill="1" applyBorder="1"/>
    <xf numFmtId="0" fontId="4" fillId="8" borderId="2" xfId="0" applyNumberFormat="1" applyFont="1" applyFill="1" applyBorder="1"/>
    <xf numFmtId="0" fontId="4" fillId="8" borderId="1" xfId="0" applyNumberFormat="1" applyFont="1" applyFill="1" applyBorder="1"/>
    <xf numFmtId="43" fontId="4" fillId="8" borderId="1" xfId="0" applyNumberFormat="1" applyFont="1" applyFill="1" applyBorder="1"/>
    <xf numFmtId="0" fontId="7" fillId="8" borderId="1" xfId="0" applyNumberFormat="1" applyFont="1" applyFill="1" applyBorder="1"/>
    <xf numFmtId="0" fontId="4" fillId="8" borderId="0" xfId="0" applyNumberFormat="1" applyFont="1" applyFill="1"/>
    <xf numFmtId="0" fontId="4" fillId="9" borderId="2" xfId="0" applyNumberFormat="1" applyFont="1" applyFill="1" applyBorder="1"/>
    <xf numFmtId="0" fontId="4" fillId="9" borderId="1" xfId="0" applyNumberFormat="1" applyFont="1" applyFill="1" applyBorder="1"/>
    <xf numFmtId="0" fontId="8" fillId="8" borderId="1" xfId="0" applyNumberFormat="1" applyFont="1" applyFill="1" applyBorder="1"/>
    <xf numFmtId="0" fontId="2" fillId="8" borderId="1" xfId="0" applyNumberFormat="1" applyFont="1" applyFill="1" applyBorder="1"/>
    <xf numFmtId="0" fontId="4" fillId="10" borderId="1" xfId="0" applyNumberFormat="1" applyFont="1" applyFill="1" applyBorder="1"/>
    <xf numFmtId="0" fontId="6" fillId="10" borderId="1" xfId="2" applyFont="1" applyFill="1" applyBorder="1" applyAlignment="1">
      <alignment horizontal="right"/>
    </xf>
    <xf numFmtId="0" fontId="6" fillId="10" borderId="1" xfId="2" applyFont="1" applyFill="1" applyBorder="1" applyAlignment="1">
      <alignment horizontal="center"/>
    </xf>
    <xf numFmtId="0" fontId="6" fillId="10" borderId="1" xfId="2" applyFont="1" applyFill="1" applyBorder="1" applyAlignment="1">
      <alignment horizontal="left"/>
    </xf>
    <xf numFmtId="0" fontId="5" fillId="0" borderId="1" xfId="2" applyFont="1" applyBorder="1" applyAlignment="1">
      <alignment horizontal="right"/>
    </xf>
    <xf numFmtId="0" fontId="5" fillId="6" borderId="1" xfId="2" applyFont="1" applyFill="1" applyBorder="1"/>
    <xf numFmtId="164" fontId="4" fillId="4" borderId="1" xfId="3" applyNumberFormat="1" applyFont="1" applyFill="1" applyBorder="1"/>
    <xf numFmtId="164" fontId="4" fillId="7" borderId="1" xfId="3" applyNumberFormat="1" applyFont="1" applyFill="1" applyBorder="1"/>
    <xf numFmtId="164" fontId="4" fillId="11" borderId="1" xfId="3" applyNumberFormat="1" applyFont="1" applyFill="1" applyBorder="1"/>
    <xf numFmtId="164" fontId="4" fillId="12" borderId="1" xfId="3" applyNumberFormat="1" applyFont="1" applyFill="1" applyBorder="1"/>
    <xf numFmtId="164" fontId="4" fillId="6" borderId="1" xfId="3" applyNumberFormat="1" applyFont="1" applyFill="1" applyBorder="1"/>
    <xf numFmtId="164" fontId="4" fillId="3" borderId="1" xfId="3" applyNumberFormat="1" applyFont="1" applyFill="1" applyBorder="1"/>
    <xf numFmtId="164" fontId="4" fillId="8" borderId="1" xfId="3" applyNumberFormat="1" applyFont="1" applyFill="1" applyBorder="1"/>
    <xf numFmtId="43" fontId="5" fillId="2" borderId="1" xfId="2" applyNumberFormat="1" applyFont="1" applyFill="1" applyBorder="1"/>
    <xf numFmtId="0" fontId="4" fillId="0" borderId="1" xfId="2" applyFont="1" applyBorder="1" applyAlignment="1">
      <alignment horizontal="right"/>
    </xf>
    <xf numFmtId="0" fontId="6" fillId="2" borderId="1" xfId="2" applyFont="1" applyFill="1" applyBorder="1"/>
    <xf numFmtId="9" fontId="6" fillId="4" borderId="1" xfId="4" applyFont="1" applyFill="1" applyBorder="1"/>
    <xf numFmtId="9" fontId="4" fillId="7" borderId="1" xfId="4" applyFont="1" applyFill="1" applyBorder="1"/>
    <xf numFmtId="9" fontId="4" fillId="11" borderId="1" xfId="4" applyFont="1" applyFill="1" applyBorder="1"/>
    <xf numFmtId="9" fontId="4" fillId="12" borderId="1" xfId="4" applyFont="1" applyFill="1" applyBorder="1"/>
    <xf numFmtId="9" fontId="4" fillId="6" borderId="1" xfId="4" applyFont="1" applyFill="1" applyBorder="1"/>
    <xf numFmtId="9" fontId="4" fillId="3" borderId="1" xfId="4" applyFont="1" applyFill="1" applyBorder="1"/>
    <xf numFmtId="9" fontId="4" fillId="8" borderId="1" xfId="4" applyFont="1" applyFill="1" applyBorder="1"/>
    <xf numFmtId="0" fontId="6" fillId="6" borderId="1" xfId="2" applyFont="1" applyFill="1" applyBorder="1"/>
    <xf numFmtId="43" fontId="4" fillId="4" borderId="1" xfId="3" applyFont="1" applyFill="1" applyBorder="1"/>
    <xf numFmtId="43" fontId="4" fillId="7" borderId="1" xfId="3" applyFont="1" applyFill="1" applyBorder="1"/>
    <xf numFmtId="43" fontId="4" fillId="11" borderId="1" xfId="3" applyFont="1" applyFill="1" applyBorder="1"/>
    <xf numFmtId="43" fontId="4" fillId="12" borderId="1" xfId="3" applyFont="1" applyFill="1" applyBorder="1"/>
    <xf numFmtId="43" fontId="4" fillId="6" borderId="1" xfId="3" applyFont="1" applyFill="1" applyBorder="1"/>
    <xf numFmtId="43" fontId="4" fillId="3" borderId="1" xfId="3" applyFont="1" applyFill="1" applyBorder="1"/>
    <xf numFmtId="43" fontId="4" fillId="8" borderId="1" xfId="3" applyFont="1" applyFill="1" applyBorder="1"/>
    <xf numFmtId="0" fontId="6" fillId="8" borderId="1" xfId="2" applyFont="1" applyFill="1" applyBorder="1"/>
    <xf numFmtId="43" fontId="7" fillId="8" borderId="1" xfId="3" applyFont="1" applyFill="1" applyBorder="1"/>
    <xf numFmtId="43" fontId="7" fillId="8" borderId="1" xfId="2" applyNumberFormat="1" applyFont="1" applyFill="1" applyBorder="1"/>
    <xf numFmtId="43" fontId="7" fillId="2" borderId="1" xfId="3" applyFont="1" applyFill="1" applyBorder="1"/>
    <xf numFmtId="43" fontId="4" fillId="4" borderId="1" xfId="2" applyNumberFormat="1" applyFont="1" applyFill="1" applyBorder="1" applyAlignment="1">
      <alignment horizontal="right"/>
    </xf>
    <xf numFmtId="43" fontId="7" fillId="7" borderId="1" xfId="2" applyNumberFormat="1" applyFont="1" applyFill="1" applyBorder="1" applyAlignment="1">
      <alignment horizontal="right"/>
    </xf>
    <xf numFmtId="43" fontId="7" fillId="11" borderId="1" xfId="2" applyNumberFormat="1" applyFont="1" applyFill="1" applyBorder="1" applyAlignment="1">
      <alignment horizontal="right"/>
    </xf>
    <xf numFmtId="43" fontId="4" fillId="12" borderId="1" xfId="2" applyNumberFormat="1" applyFont="1" applyFill="1" applyBorder="1" applyAlignment="1">
      <alignment horizontal="right"/>
    </xf>
    <xf numFmtId="43" fontId="4" fillId="6" borderId="1" xfId="2" applyNumberFormat="1" applyFont="1" applyFill="1" applyBorder="1" applyAlignment="1">
      <alignment horizontal="right"/>
    </xf>
    <xf numFmtId="43" fontId="4" fillId="3" borderId="1" xfId="2" applyNumberFormat="1" applyFont="1" applyFill="1" applyBorder="1" applyAlignment="1">
      <alignment horizontal="right"/>
    </xf>
    <xf numFmtId="43" fontId="4" fillId="8" borderId="1" xfId="2" applyNumberFormat="1" applyFont="1" applyFill="1" applyBorder="1" applyAlignment="1">
      <alignment horizontal="right"/>
    </xf>
    <xf numFmtId="43" fontId="7" fillId="2" borderId="1" xfId="2" applyNumberFormat="1" applyFont="1" applyFill="1" applyBorder="1" applyAlignment="1">
      <alignment horizontal="right"/>
    </xf>
    <xf numFmtId="0" fontId="4" fillId="8" borderId="3" xfId="0" applyNumberFormat="1" applyFont="1" applyFill="1" applyBorder="1"/>
    <xf numFmtId="0" fontId="4" fillId="9" borderId="3" xfId="0" applyNumberFormat="1" applyFont="1" applyFill="1" applyBorder="1"/>
    <xf numFmtId="0" fontId="6" fillId="8" borderId="1" xfId="2" applyFont="1" applyFill="1" applyBorder="1" applyAlignment="1">
      <alignment horizontal="right"/>
    </xf>
    <xf numFmtId="43" fontId="6" fillId="4" borderId="1" xfId="2" applyNumberFormat="1" applyFont="1" applyFill="1" applyBorder="1" applyAlignment="1">
      <alignment horizontal="right"/>
    </xf>
    <xf numFmtId="43" fontId="5" fillId="7" borderId="1" xfId="2" applyNumberFormat="1" applyFont="1" applyFill="1" applyBorder="1" applyAlignment="1">
      <alignment horizontal="right"/>
    </xf>
    <xf numFmtId="43" fontId="5" fillId="11" borderId="1" xfId="2" applyNumberFormat="1" applyFont="1" applyFill="1" applyBorder="1" applyAlignment="1">
      <alignment horizontal="right"/>
    </xf>
    <xf numFmtId="43" fontId="6" fillId="12" borderId="1" xfId="2" applyNumberFormat="1" applyFont="1" applyFill="1" applyBorder="1" applyAlignment="1">
      <alignment horizontal="right"/>
    </xf>
    <xf numFmtId="43" fontId="6" fillId="6" borderId="1" xfId="2" applyNumberFormat="1" applyFont="1" applyFill="1" applyBorder="1" applyAlignment="1">
      <alignment horizontal="right"/>
    </xf>
    <xf numFmtId="43" fontId="6" fillId="3" borderId="1" xfId="2" applyNumberFormat="1" applyFont="1" applyFill="1" applyBorder="1" applyAlignment="1">
      <alignment horizontal="right"/>
    </xf>
    <xf numFmtId="43" fontId="6" fillId="8" borderId="1" xfId="2" applyNumberFormat="1" applyFont="1" applyFill="1" applyBorder="1" applyAlignment="1">
      <alignment horizontal="right"/>
    </xf>
    <xf numFmtId="43" fontId="5" fillId="2" borderId="1" xfId="2" applyNumberFormat="1" applyFont="1" applyFill="1" applyBorder="1" applyAlignment="1">
      <alignment horizontal="right"/>
    </xf>
    <xf numFmtId="0" fontId="6" fillId="0" borderId="1" xfId="2" applyFont="1" applyBorder="1" applyAlignment="1">
      <alignment horizontal="right"/>
    </xf>
    <xf numFmtId="9" fontId="6" fillId="7" borderId="1" xfId="4" applyFont="1" applyFill="1" applyBorder="1"/>
    <xf numFmtId="9" fontId="6" fillId="11" borderId="1" xfId="4" applyFont="1" applyFill="1" applyBorder="1"/>
    <xf numFmtId="9" fontId="6" fillId="12" borderId="1" xfId="4" applyFont="1" applyFill="1" applyBorder="1"/>
    <xf numFmtId="9" fontId="6" fillId="6" borderId="1" xfId="4" applyFont="1" applyFill="1" applyBorder="1"/>
    <xf numFmtId="9" fontId="6" fillId="3" borderId="1" xfId="4" applyFont="1" applyFill="1" applyBorder="1"/>
    <xf numFmtId="9" fontId="6" fillId="8" borderId="1" xfId="4" applyFont="1" applyFill="1" applyBorder="1"/>
    <xf numFmtId="164" fontId="4" fillId="8" borderId="1" xfId="0" applyNumberFormat="1" applyFont="1" applyFill="1" applyBorder="1"/>
    <xf numFmtId="43" fontId="4" fillId="0" borderId="1" xfId="0" applyNumberFormat="1" applyFont="1" applyBorder="1"/>
    <xf numFmtId="43" fontId="5" fillId="2" borderId="1" xfId="0" applyNumberFormat="1" applyFont="1" applyFill="1" applyBorder="1"/>
    <xf numFmtId="0" fontId="2" fillId="2" borderId="1" xfId="0" applyNumberFormat="1" applyFont="1" applyFill="1" applyBorder="1"/>
    <xf numFmtId="165" fontId="9" fillId="0" borderId="1" xfId="1" applyNumberFormat="1" applyFont="1" applyBorder="1"/>
    <xf numFmtId="166" fontId="6" fillId="4" borderId="1" xfId="4" applyNumberFormat="1" applyFont="1" applyFill="1" applyBorder="1"/>
    <xf numFmtId="166" fontId="6" fillId="7" borderId="1" xfId="4" applyNumberFormat="1" applyFont="1" applyFill="1" applyBorder="1"/>
    <xf numFmtId="166" fontId="6" fillId="11" borderId="1" xfId="4" applyNumberFormat="1" applyFont="1" applyFill="1" applyBorder="1"/>
    <xf numFmtId="166" fontId="6" fillId="12" borderId="1" xfId="4" applyNumberFormat="1" applyFont="1" applyFill="1" applyBorder="1"/>
    <xf numFmtId="166" fontId="6" fillId="6" borderId="1" xfId="4" applyNumberFormat="1" applyFont="1" applyFill="1" applyBorder="1"/>
    <xf numFmtId="166" fontId="6" fillId="3" borderId="1" xfId="4" applyNumberFormat="1" applyFont="1" applyFill="1" applyBorder="1"/>
    <xf numFmtId="166" fontId="6" fillId="8" borderId="1" xfId="4" applyNumberFormat="1" applyFont="1" applyFill="1" applyBorder="1"/>
    <xf numFmtId="43" fontId="4" fillId="2" borderId="1" xfId="0" applyNumberFormat="1" applyFont="1" applyFill="1" applyBorder="1"/>
    <xf numFmtId="0" fontId="6" fillId="8" borderId="1" xfId="0" applyNumberFormat="1" applyFont="1" applyFill="1" applyBorder="1"/>
    <xf numFmtId="0" fontId="7" fillId="0" borderId="1" xfId="2" applyFont="1" applyBorder="1"/>
    <xf numFmtId="0" fontId="7" fillId="0" borderId="1" xfId="0" applyNumberFormat="1" applyFont="1" applyBorder="1"/>
    <xf numFmtId="0" fontId="4" fillId="13" borderId="1" xfId="0" applyNumberFormat="1" applyFont="1" applyFill="1" applyBorder="1" applyAlignment="1">
      <alignment horizontal="right" vertical="center" wrapText="1"/>
    </xf>
    <xf numFmtId="0" fontId="4" fillId="13" borderId="1" xfId="0" applyNumberFormat="1" applyFont="1" applyFill="1" applyBorder="1"/>
    <xf numFmtId="0" fontId="5" fillId="2" borderId="1" xfId="0" applyNumberFormat="1" applyFont="1" applyFill="1" applyBorder="1"/>
    <xf numFmtId="0" fontId="10" fillId="2" borderId="1" xfId="0" applyNumberFormat="1" applyFont="1" applyFill="1" applyBorder="1" applyAlignment="1">
      <alignment horizontal="right"/>
    </xf>
    <xf numFmtId="0" fontId="5" fillId="2" borderId="1" xfId="0" applyNumberFormat="1" applyFont="1" applyFill="1" applyBorder="1" applyAlignment="1">
      <alignment horizontal="center"/>
    </xf>
    <xf numFmtId="43" fontId="7" fillId="11" borderId="1" xfId="1" applyFont="1" applyFill="1" applyBorder="1" applyAlignment="1">
      <alignment horizontal="right"/>
    </xf>
    <xf numFmtId="43" fontId="7" fillId="12" borderId="1" xfId="1" applyFont="1" applyFill="1" applyBorder="1" applyAlignment="1">
      <alignment horizontal="right"/>
    </xf>
    <xf numFmtId="43" fontId="7" fillId="6" borderId="1" xfId="1" applyFont="1" applyFill="1" applyBorder="1" applyAlignment="1">
      <alignment horizontal="right"/>
    </xf>
    <xf numFmtId="43" fontId="7" fillId="3" borderId="1" xfId="1" applyFont="1" applyFill="1" applyBorder="1" applyAlignment="1">
      <alignment horizontal="right"/>
    </xf>
    <xf numFmtId="43" fontId="7" fillId="2" borderId="1" xfId="1" applyFont="1" applyFill="1" applyBorder="1" applyAlignment="1">
      <alignment horizontal="right"/>
    </xf>
    <xf numFmtId="43" fontId="7" fillId="8" borderId="1" xfId="1" applyFont="1" applyFill="1" applyBorder="1" applyAlignment="1">
      <alignment horizontal="right"/>
    </xf>
  </cellXfs>
  <cellStyles count="19">
    <cellStyle name="Comma" xfId="1" builtinId="3"/>
    <cellStyle name="Comma 2" xfId="5"/>
    <cellStyle name="Comma 28" xfId="3"/>
    <cellStyle name="Currency 2" xfId="6"/>
    <cellStyle name="Hipervínculo 2" xfId="7"/>
    <cellStyle name="Hyperlink 2" xfId="8"/>
    <cellStyle name="Millares 2" xfId="9"/>
    <cellStyle name="Normal" xfId="0" builtinId="0"/>
    <cellStyle name="Normal 2" xfId="10"/>
    <cellStyle name="Normal 2 2" xfId="11"/>
    <cellStyle name="Normal 3" xfId="12"/>
    <cellStyle name="Normal 3 2" xfId="13"/>
    <cellStyle name="Normal 38" xfId="2"/>
    <cellStyle name="Normal 4" xfId="14"/>
    <cellStyle name="Normal 5" xfId="15"/>
    <cellStyle name="Percent 15" xfId="4"/>
    <cellStyle name="Percent 2" xfId="16"/>
    <cellStyle name="Percent 3" xfId="17"/>
    <cellStyle name="Porcentaje 2" xfId="1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5939</xdr:colOff>
      <xdr:row>11</xdr:row>
      <xdr:rowOff>47502</xdr:rowOff>
    </xdr:from>
    <xdr:to>
      <xdr:col>47</xdr:col>
      <xdr:colOff>789710</xdr:colOff>
      <xdr:row>20</xdr:row>
      <xdr:rowOff>5939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072292" y="2232562"/>
          <a:ext cx="2434441" cy="12944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59</xdr:col>
      <xdr:colOff>17814</xdr:colOff>
      <xdr:row>13</xdr:row>
      <xdr:rowOff>118753</xdr:rowOff>
    </xdr:from>
    <xdr:to>
      <xdr:col>62</xdr:col>
      <xdr:colOff>635331</xdr:colOff>
      <xdr:row>23</xdr:row>
      <xdr:rowOff>0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638858" y="2600696"/>
          <a:ext cx="3093522" cy="14012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23750</xdr:colOff>
      <xdr:row>43</xdr:row>
      <xdr:rowOff>59376</xdr:rowOff>
    </xdr:from>
    <xdr:to>
      <xdr:col>28</xdr:col>
      <xdr:colOff>492825</xdr:colOff>
      <xdr:row>50</xdr:row>
      <xdr:rowOff>53440</xdr:rowOff>
    </xdr:to>
    <xdr:pic>
      <xdr:nvPicPr>
        <xdr:cNvPr id="4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631392" y="7119257"/>
          <a:ext cx="7897090" cy="10509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77"/>
  <sheetViews>
    <sheetView tabSelected="1" workbookViewId="0">
      <pane xSplit="4" ySplit="3" topLeftCell="E61" activePane="bottomRight" state="frozen"/>
      <selection activeCell="M4" sqref="M4"/>
      <selection pane="topRight" activeCell="M4" sqref="M4"/>
      <selection pane="bottomLeft" activeCell="M4" sqref="M4"/>
      <selection pane="bottomRight" activeCell="B41" sqref="B41"/>
    </sheetView>
  </sheetViews>
  <sheetFormatPr defaultRowHeight="11.7"/>
  <cols>
    <col min="1" max="1" width="4.23046875" style="7" customWidth="1"/>
    <col min="2" max="2" width="5.3828125" style="7" customWidth="1"/>
    <col min="3" max="3" width="19.765625" style="7" customWidth="1"/>
    <col min="4" max="4" width="25.23046875" style="7" customWidth="1"/>
    <col min="5" max="5" width="9.53515625" style="7" customWidth="1"/>
    <col min="6" max="6" width="10.69140625" style="7" customWidth="1"/>
    <col min="7" max="7" width="10.3828125" style="7" customWidth="1"/>
    <col min="8" max="8" width="10.69140625" style="7" customWidth="1"/>
    <col min="9" max="9" width="11.53515625" style="7" customWidth="1"/>
    <col min="10" max="10" width="10.69140625" style="7" customWidth="1"/>
    <col min="11" max="14" width="10.69140625" style="27" customWidth="1"/>
    <col min="15" max="15" width="10.84375" style="27" customWidth="1"/>
    <col min="16" max="16" width="11.3046875" style="27" customWidth="1"/>
    <col min="17" max="36" width="10.69140625" style="27" customWidth="1"/>
    <col min="37" max="64" width="10.69140625" style="7" customWidth="1"/>
    <col min="65" max="16384" width="9.23046875" style="7"/>
  </cols>
  <sheetData>
    <row r="1" spans="1:64">
      <c r="A1" s="1"/>
      <c r="B1" s="1"/>
      <c r="C1" s="2"/>
      <c r="D1" s="3" t="s">
        <v>0</v>
      </c>
      <c r="E1" s="4"/>
      <c r="F1" s="5"/>
      <c r="G1" s="5"/>
      <c r="H1" s="1" t="s">
        <v>1</v>
      </c>
      <c r="I1" s="1" t="s">
        <v>1</v>
      </c>
      <c r="J1" s="1" t="s">
        <v>1</v>
      </c>
      <c r="K1" s="6" t="s">
        <v>1</v>
      </c>
      <c r="L1" s="6" t="s">
        <v>1</v>
      </c>
      <c r="M1" s="6" t="s">
        <v>1</v>
      </c>
      <c r="N1" s="6" t="s">
        <v>1</v>
      </c>
      <c r="O1" s="6" t="s">
        <v>1</v>
      </c>
      <c r="P1" s="6" t="s">
        <v>1</v>
      </c>
      <c r="Q1" s="6" t="s">
        <v>1</v>
      </c>
      <c r="R1" s="6" t="s">
        <v>1</v>
      </c>
      <c r="S1" s="6" t="s">
        <v>1</v>
      </c>
      <c r="T1" s="6" t="s">
        <v>1</v>
      </c>
      <c r="U1" s="6" t="s">
        <v>1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1</v>
      </c>
      <c r="AA1" s="6" t="s">
        <v>1</v>
      </c>
      <c r="AB1" s="6" t="s">
        <v>1</v>
      </c>
      <c r="AC1" s="6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</row>
    <row r="2" spans="1:64">
      <c r="A2" s="1" t="s">
        <v>1</v>
      </c>
      <c r="B2" s="1" t="s">
        <v>1</v>
      </c>
      <c r="C2" s="1" t="s">
        <v>1</v>
      </c>
      <c r="D2" s="8" t="s">
        <v>2</v>
      </c>
      <c r="E2" s="1" t="s">
        <v>1</v>
      </c>
      <c r="F2" s="1" t="s">
        <v>1</v>
      </c>
      <c r="G2" s="1" t="s">
        <v>1</v>
      </c>
      <c r="H2" s="9">
        <v>0</v>
      </c>
      <c r="I2" s="1" t="s">
        <v>1</v>
      </c>
      <c r="J2" s="1" t="s">
        <v>1</v>
      </c>
      <c r="K2" s="6" t="s">
        <v>1</v>
      </c>
      <c r="L2" s="6" t="s">
        <v>1</v>
      </c>
      <c r="M2" s="10">
        <v>1.0000000000000009E-2</v>
      </c>
      <c r="N2" s="6" t="s">
        <v>1</v>
      </c>
      <c r="O2" s="6" t="s">
        <v>1</v>
      </c>
      <c r="P2" s="6" t="s">
        <v>1</v>
      </c>
      <c r="Q2" s="6" t="s">
        <v>1</v>
      </c>
      <c r="R2" s="10">
        <v>2.0000000000000018E-2</v>
      </c>
      <c r="S2" s="6" t="s">
        <v>1</v>
      </c>
      <c r="T2" s="6" t="s">
        <v>1</v>
      </c>
      <c r="U2" s="6" t="s">
        <v>1</v>
      </c>
      <c r="V2" s="6" t="s">
        <v>1</v>
      </c>
      <c r="W2" s="10">
        <v>3.0000000000000027E-2</v>
      </c>
      <c r="X2" s="6" t="s">
        <v>1</v>
      </c>
      <c r="Y2" s="6" t="s">
        <v>1</v>
      </c>
      <c r="Z2" s="6" t="s">
        <v>1</v>
      </c>
      <c r="AA2" s="6" t="s">
        <v>1</v>
      </c>
      <c r="AB2" s="10">
        <v>4.0000000000000036E-2</v>
      </c>
      <c r="AC2" s="6" t="s">
        <v>1</v>
      </c>
      <c r="AD2" s="1" t="s">
        <v>1</v>
      </c>
      <c r="AE2" s="1" t="s">
        <v>1</v>
      </c>
      <c r="AF2" s="1" t="s">
        <v>1</v>
      </c>
      <c r="AG2" s="10">
        <v>5.0000000000000044E-2</v>
      </c>
      <c r="AH2" s="1" t="s">
        <v>1</v>
      </c>
      <c r="AI2" s="1" t="s">
        <v>1</v>
      </c>
      <c r="AJ2" s="1" t="s">
        <v>1</v>
      </c>
      <c r="AK2" s="1" t="s">
        <v>1</v>
      </c>
      <c r="AL2" s="11">
        <v>6.0000000000000053E-2</v>
      </c>
      <c r="AM2" s="1" t="s">
        <v>1</v>
      </c>
      <c r="AN2" s="1" t="s">
        <v>1</v>
      </c>
      <c r="AO2" s="1" t="s">
        <v>1</v>
      </c>
      <c r="AP2" s="1" t="s">
        <v>1</v>
      </c>
      <c r="AQ2" s="11">
        <v>7.0000000000000062E-2</v>
      </c>
      <c r="AR2" s="1" t="s">
        <v>1</v>
      </c>
      <c r="AS2" s="1" t="s">
        <v>1</v>
      </c>
      <c r="AT2" s="1" t="s">
        <v>1</v>
      </c>
      <c r="AU2" s="1" t="s">
        <v>1</v>
      </c>
      <c r="AV2" s="11">
        <v>8.0000000000000071E-2</v>
      </c>
      <c r="AW2" s="1" t="s">
        <v>1</v>
      </c>
      <c r="AX2" s="1" t="s">
        <v>1</v>
      </c>
      <c r="AY2" s="1" t="s">
        <v>1</v>
      </c>
      <c r="AZ2" s="1" t="s">
        <v>1</v>
      </c>
      <c r="BA2" s="12">
        <v>9.000000000000008E-2</v>
      </c>
      <c r="BB2" s="1" t="s">
        <v>1</v>
      </c>
      <c r="BC2" s="1" t="s">
        <v>1</v>
      </c>
      <c r="BD2" s="1" t="s">
        <v>1</v>
      </c>
      <c r="BE2" s="1" t="s">
        <v>1</v>
      </c>
      <c r="BF2" s="12">
        <v>0.10000000000000009</v>
      </c>
      <c r="BG2" s="1" t="s">
        <v>1</v>
      </c>
      <c r="BH2" s="1" t="s">
        <v>1</v>
      </c>
      <c r="BI2" s="1" t="s">
        <v>1</v>
      </c>
      <c r="BJ2" s="1" t="s">
        <v>1</v>
      </c>
      <c r="BK2" s="12">
        <v>0.1100000000000001</v>
      </c>
      <c r="BL2" s="1" t="s">
        <v>1</v>
      </c>
    </row>
    <row r="3" spans="1:64" ht="49.6" customHeight="1">
      <c r="A3" s="13" t="s">
        <v>3</v>
      </c>
      <c r="B3" s="1" t="s">
        <v>4</v>
      </c>
      <c r="C3" s="1" t="s">
        <v>5</v>
      </c>
      <c r="D3" s="1" t="s">
        <v>6</v>
      </c>
      <c r="E3" s="14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5" t="s">
        <v>12</v>
      </c>
      <c r="K3" s="16" t="s">
        <v>13</v>
      </c>
      <c r="L3" s="16" t="s">
        <v>14</v>
      </c>
      <c r="M3" s="16" t="s">
        <v>15</v>
      </c>
      <c r="N3" s="16" t="s">
        <v>16</v>
      </c>
      <c r="O3" s="16" t="s">
        <v>17</v>
      </c>
      <c r="P3" s="16" t="s">
        <v>18</v>
      </c>
      <c r="Q3" s="16" t="s">
        <v>19</v>
      </c>
      <c r="R3" s="16" t="s">
        <v>20</v>
      </c>
      <c r="S3" s="16" t="s">
        <v>21</v>
      </c>
      <c r="T3" s="16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6" t="s">
        <v>27</v>
      </c>
      <c r="Z3" s="16" t="s">
        <v>28</v>
      </c>
      <c r="AA3" s="16" t="s">
        <v>29</v>
      </c>
      <c r="AB3" s="16" t="s">
        <v>30</v>
      </c>
      <c r="AC3" s="16" t="s">
        <v>31</v>
      </c>
      <c r="AD3" s="16" t="s">
        <v>32</v>
      </c>
      <c r="AE3" s="16" t="s">
        <v>33</v>
      </c>
      <c r="AF3" s="16" t="s">
        <v>34</v>
      </c>
      <c r="AG3" s="16" t="s">
        <v>35</v>
      </c>
      <c r="AH3" s="16" t="s">
        <v>36</v>
      </c>
      <c r="AI3" s="17" t="s">
        <v>37</v>
      </c>
      <c r="AJ3" s="17" t="s">
        <v>38</v>
      </c>
      <c r="AK3" s="17" t="s">
        <v>39</v>
      </c>
      <c r="AL3" s="17" t="s">
        <v>40</v>
      </c>
      <c r="AM3" s="17" t="s">
        <v>41</v>
      </c>
      <c r="AN3" s="17" t="s">
        <v>42</v>
      </c>
      <c r="AO3" s="17" t="s">
        <v>43</v>
      </c>
      <c r="AP3" s="17" t="s">
        <v>44</v>
      </c>
      <c r="AQ3" s="17" t="s">
        <v>45</v>
      </c>
      <c r="AR3" s="17" t="s">
        <v>46</v>
      </c>
      <c r="AS3" s="17" t="s">
        <v>47</v>
      </c>
      <c r="AT3" s="17" t="s">
        <v>48</v>
      </c>
      <c r="AU3" s="17" t="s">
        <v>49</v>
      </c>
      <c r="AV3" s="17" t="s">
        <v>50</v>
      </c>
      <c r="AW3" s="17" t="s">
        <v>51</v>
      </c>
      <c r="AX3" s="17" t="s">
        <v>52</v>
      </c>
      <c r="AY3" s="17" t="s">
        <v>53</v>
      </c>
      <c r="AZ3" s="17" t="s">
        <v>54</v>
      </c>
      <c r="BA3" s="17" t="s">
        <v>55</v>
      </c>
      <c r="BB3" s="17" t="s">
        <v>56</v>
      </c>
      <c r="BC3" s="17" t="s">
        <v>57</v>
      </c>
      <c r="BD3" s="17" t="s">
        <v>58</v>
      </c>
      <c r="BE3" s="17" t="s">
        <v>59</v>
      </c>
      <c r="BF3" s="17" t="s">
        <v>60</v>
      </c>
      <c r="BG3" s="17" t="s">
        <v>61</v>
      </c>
      <c r="BH3" s="17" t="s">
        <v>62</v>
      </c>
      <c r="BI3" s="17" t="s">
        <v>63</v>
      </c>
      <c r="BJ3" s="17" t="s">
        <v>64</v>
      </c>
      <c r="BK3" s="17" t="s">
        <v>65</v>
      </c>
      <c r="BL3" s="17" t="s">
        <v>66</v>
      </c>
    </row>
    <row r="4" spans="1:64">
      <c r="A4" s="13">
        <v>432</v>
      </c>
      <c r="B4" s="1" t="s">
        <v>67</v>
      </c>
      <c r="C4" s="18">
        <v>511004</v>
      </c>
      <c r="D4" s="1" t="s">
        <v>68</v>
      </c>
      <c r="E4" s="19">
        <v>1000</v>
      </c>
      <c r="F4" s="19">
        <v>1000</v>
      </c>
      <c r="G4" s="19">
        <v>1000</v>
      </c>
      <c r="H4" s="19">
        <v>0</v>
      </c>
      <c r="I4" s="19">
        <v>0</v>
      </c>
      <c r="J4" s="20">
        <v>1505</v>
      </c>
      <c r="K4" s="21">
        <v>495</v>
      </c>
      <c r="L4" s="21">
        <v>1495</v>
      </c>
      <c r="M4" s="21">
        <v>10.000000000000009</v>
      </c>
      <c r="N4" s="21">
        <v>10.000000000000009</v>
      </c>
      <c r="O4" s="21">
        <v>2321</v>
      </c>
      <c r="P4" s="21">
        <v>785.90000000000009</v>
      </c>
      <c r="Q4" s="21">
        <v>2280.9</v>
      </c>
      <c r="R4" s="21">
        <v>30.100000000000026</v>
      </c>
      <c r="S4" s="21">
        <v>40.100000000000037</v>
      </c>
      <c r="T4" s="21">
        <v>2939</v>
      </c>
      <c r="U4" s="21">
        <v>548.36999999999989</v>
      </c>
      <c r="V4" s="21">
        <v>2829.27</v>
      </c>
      <c r="W4" s="21">
        <v>69.630000000000067</v>
      </c>
      <c r="X4" s="21">
        <v>109.7300000000001</v>
      </c>
      <c r="Y4" s="21">
        <v>3355</v>
      </c>
      <c r="Z4" s="21">
        <v>298.44000000000005</v>
      </c>
      <c r="AA4" s="21">
        <v>3127.71</v>
      </c>
      <c r="AB4" s="21">
        <v>117.5600000000001</v>
      </c>
      <c r="AC4" s="21">
        <v>227.29000000000019</v>
      </c>
      <c r="AD4" s="21">
        <v>4405</v>
      </c>
      <c r="AE4" s="21">
        <v>882.24999999999955</v>
      </c>
      <c r="AF4" s="21">
        <v>4009.9599999999996</v>
      </c>
      <c r="AG4" s="21">
        <v>167.75000000000014</v>
      </c>
      <c r="AH4" s="21">
        <v>395.0400000000003</v>
      </c>
      <c r="AI4" s="22">
        <v>5306</v>
      </c>
      <c r="AJ4" s="22">
        <v>636.70000000000027</v>
      </c>
      <c r="AK4" s="22">
        <v>4646.66</v>
      </c>
      <c r="AL4" s="22">
        <v>264.30000000000024</v>
      </c>
      <c r="AM4" s="22">
        <v>659.3400000000006</v>
      </c>
      <c r="AN4" s="22">
        <v>6076</v>
      </c>
      <c r="AO4" s="22">
        <v>398.57999999999902</v>
      </c>
      <c r="AP4" s="22">
        <v>5045.2399999999989</v>
      </c>
      <c r="AQ4" s="22">
        <v>371.42000000000036</v>
      </c>
      <c r="AR4" s="22">
        <v>1030.7600000000009</v>
      </c>
      <c r="AS4" s="22">
        <v>6400</v>
      </c>
      <c r="AT4" s="22">
        <v>-162.07999999999993</v>
      </c>
      <c r="AU4" s="22">
        <v>4883.1599999999989</v>
      </c>
      <c r="AV4" s="22">
        <v>486.08000000000044</v>
      </c>
      <c r="AW4" s="22">
        <v>1516.8400000000013</v>
      </c>
      <c r="AX4" s="22">
        <v>7381</v>
      </c>
      <c r="AY4" s="22">
        <v>404.99999999999909</v>
      </c>
      <c r="AZ4" s="22">
        <v>5288.159999999998</v>
      </c>
      <c r="BA4" s="22">
        <v>576.00000000000045</v>
      </c>
      <c r="BB4" s="22">
        <v>2092.840000000002</v>
      </c>
      <c r="BC4" s="22">
        <v>8701</v>
      </c>
      <c r="BD4" s="22">
        <v>581.89999999999964</v>
      </c>
      <c r="BE4" s="22">
        <v>5870.0599999999977</v>
      </c>
      <c r="BF4" s="22">
        <v>738.1000000000007</v>
      </c>
      <c r="BG4" s="22">
        <v>2830.9400000000028</v>
      </c>
      <c r="BH4" s="22">
        <v>9589</v>
      </c>
      <c r="BI4" s="22">
        <v>-69.110000000001492</v>
      </c>
      <c r="BJ4" s="22">
        <v>5800.9499999999962</v>
      </c>
      <c r="BK4" s="22">
        <v>957.11000000000081</v>
      </c>
      <c r="BL4" s="22">
        <v>3788.0500000000038</v>
      </c>
    </row>
    <row r="5" spans="1:64" s="27" customFormat="1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5"/>
      <c r="S5" s="24"/>
      <c r="T5" s="24"/>
      <c r="U5" s="25">
        <f>U4-H12</f>
        <v>0</v>
      </c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6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</row>
    <row r="6" spans="1:64" s="27" customFormat="1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5"/>
      <c r="S6" s="24"/>
      <c r="T6" s="24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6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</row>
    <row r="7" spans="1:64" s="27" customFormat="1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5"/>
      <c r="S7" s="24"/>
      <c r="T7" s="24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6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</row>
    <row r="8" spans="1:64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</row>
    <row r="9" spans="1:64" s="27" customFormat="1" ht="14.5">
      <c r="A9" s="23"/>
      <c r="B9" s="24"/>
      <c r="C9" s="24"/>
      <c r="D9" s="24"/>
      <c r="E9" s="24"/>
      <c r="F9" s="30" t="s">
        <v>69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</row>
    <row r="10" spans="1:64" s="27" customFormat="1" ht="14.5">
      <c r="A10" s="23"/>
      <c r="B10" s="24"/>
      <c r="C10" s="24"/>
      <c r="D10" s="31" t="s">
        <v>70</v>
      </c>
      <c r="E10" s="24"/>
      <c r="F10" s="30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</row>
    <row r="11" spans="1:64">
      <c r="A11" s="1"/>
      <c r="B11" s="32"/>
      <c r="C11" s="33" t="s">
        <v>71</v>
      </c>
      <c r="D11" s="34" t="s">
        <v>72</v>
      </c>
      <c r="E11" s="34" t="s">
        <v>73</v>
      </c>
      <c r="F11" s="34" t="s">
        <v>74</v>
      </c>
      <c r="G11" s="34" t="s">
        <v>75</v>
      </c>
      <c r="H11" s="34" t="s">
        <v>76</v>
      </c>
      <c r="I11" s="34" t="s">
        <v>77</v>
      </c>
      <c r="J11" s="34" t="s">
        <v>78</v>
      </c>
      <c r="K11" s="34" t="s">
        <v>79</v>
      </c>
      <c r="L11" s="34" t="s">
        <v>80</v>
      </c>
      <c r="M11" s="34" t="s">
        <v>81</v>
      </c>
      <c r="N11" s="34" t="s">
        <v>82</v>
      </c>
      <c r="O11" s="34" t="s">
        <v>83</v>
      </c>
      <c r="P11" s="34" t="s">
        <v>84</v>
      </c>
      <c r="Q11" s="35" t="s">
        <v>85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>
      <c r="A12" s="1"/>
      <c r="B12" s="1"/>
      <c r="C12" s="36" t="s">
        <v>86</v>
      </c>
      <c r="D12" s="37" t="s">
        <v>87</v>
      </c>
      <c r="E12" s="38">
        <v>1000</v>
      </c>
      <c r="F12" s="39">
        <f>(F18-E18)-F16</f>
        <v>495</v>
      </c>
      <c r="G12" s="40">
        <f>(G18-F18)-(G16-F16)</f>
        <v>785.9</v>
      </c>
      <c r="H12" s="41">
        <f>(H18-G18)-(H16-G16)</f>
        <v>548.37</v>
      </c>
      <c r="I12" s="42">
        <f t="shared" ref="I12:P12" si="0">(I18-H18)-(I16-H16)</f>
        <v>298.44</v>
      </c>
      <c r="J12" s="43">
        <f t="shared" si="0"/>
        <v>882.25</v>
      </c>
      <c r="K12" s="44">
        <f t="shared" si="0"/>
        <v>636.70000000000005</v>
      </c>
      <c r="L12" s="44">
        <f t="shared" si="0"/>
        <v>398.57999999999993</v>
      </c>
      <c r="M12" s="44">
        <f t="shared" si="0"/>
        <v>-162.07999999999993</v>
      </c>
      <c r="N12" s="44">
        <f t="shared" si="0"/>
        <v>404.99999999999977</v>
      </c>
      <c r="O12" s="44">
        <f t="shared" si="0"/>
        <v>581.90000000000009</v>
      </c>
      <c r="P12" s="44">
        <f t="shared" si="0"/>
        <v>-69.110000000000127</v>
      </c>
      <c r="Q12" s="45">
        <f>SUM(E12:P12)</f>
        <v>5800.9499999999989</v>
      </c>
      <c r="R12" s="24" t="s">
        <v>88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>
      <c r="A13" s="1"/>
      <c r="B13" s="1"/>
      <c r="C13" s="46" t="s">
        <v>89</v>
      </c>
      <c r="D13" s="47" t="s">
        <v>90</v>
      </c>
      <c r="E13" s="48">
        <v>0</v>
      </c>
      <c r="F13" s="49">
        <v>0.01</v>
      </c>
      <c r="G13" s="50">
        <v>0.02</v>
      </c>
      <c r="H13" s="51">
        <v>0.03</v>
      </c>
      <c r="I13" s="52">
        <v>0.04</v>
      </c>
      <c r="J13" s="53">
        <v>0.05</v>
      </c>
      <c r="K13" s="54">
        <v>0.06</v>
      </c>
      <c r="L13" s="54">
        <v>7.0000000000000007E-2</v>
      </c>
      <c r="M13" s="54">
        <v>0.08</v>
      </c>
      <c r="N13" s="54">
        <v>0.09</v>
      </c>
      <c r="O13" s="54">
        <v>0.1</v>
      </c>
      <c r="P13" s="54">
        <v>0.11</v>
      </c>
      <c r="Q13" s="45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>
      <c r="A14" s="1"/>
      <c r="B14" s="1"/>
      <c r="C14" s="46" t="s">
        <v>91</v>
      </c>
      <c r="D14" s="55" t="s">
        <v>92</v>
      </c>
      <c r="E14" s="56">
        <f>E12*E13</f>
        <v>0</v>
      </c>
      <c r="F14" s="57">
        <f>E17*F13</f>
        <v>10</v>
      </c>
      <c r="G14" s="58">
        <f>F18*G13</f>
        <v>30.1</v>
      </c>
      <c r="H14" s="59">
        <f>G18*H13</f>
        <v>69.63</v>
      </c>
      <c r="I14" s="60">
        <f t="shared" ref="I14:P14" si="1">H18*I13</f>
        <v>117.56</v>
      </c>
      <c r="J14" s="61">
        <f t="shared" si="1"/>
        <v>167.75</v>
      </c>
      <c r="K14" s="62">
        <f t="shared" si="1"/>
        <v>264.3</v>
      </c>
      <c r="L14" s="62">
        <f t="shared" si="1"/>
        <v>371.42</v>
      </c>
      <c r="M14" s="62">
        <f t="shared" si="1"/>
        <v>486.08</v>
      </c>
      <c r="N14" s="62">
        <f t="shared" si="1"/>
        <v>576</v>
      </c>
      <c r="O14" s="62">
        <f t="shared" si="1"/>
        <v>738.1</v>
      </c>
      <c r="P14" s="62">
        <f t="shared" si="1"/>
        <v>957.11</v>
      </c>
      <c r="Q14" s="45">
        <f t="shared" ref="Q14" si="2">SUM(E14:P14)</f>
        <v>3788.05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>
      <c r="A15" s="1"/>
      <c r="B15" s="1"/>
      <c r="C15" s="46"/>
      <c r="D15" s="63"/>
      <c r="E15" s="62"/>
      <c r="F15" s="64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5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>
      <c r="A16" s="1"/>
      <c r="B16" s="1"/>
      <c r="C16" s="46" t="s">
        <v>91</v>
      </c>
      <c r="D16" s="37" t="s">
        <v>93</v>
      </c>
      <c r="E16" s="56">
        <f>E14</f>
        <v>0</v>
      </c>
      <c r="F16" s="57">
        <f>E16+F14</f>
        <v>10</v>
      </c>
      <c r="G16" s="58">
        <f>F16+G14</f>
        <v>40.1</v>
      </c>
      <c r="H16" s="59">
        <f>G16+H14</f>
        <v>109.72999999999999</v>
      </c>
      <c r="I16" s="60">
        <f t="shared" ref="I16:P16" si="3">H16+I14</f>
        <v>227.29</v>
      </c>
      <c r="J16" s="61">
        <f t="shared" si="3"/>
        <v>395.03999999999996</v>
      </c>
      <c r="K16" s="62">
        <f t="shared" si="3"/>
        <v>659.33999999999992</v>
      </c>
      <c r="L16" s="62">
        <f t="shared" si="3"/>
        <v>1030.76</v>
      </c>
      <c r="M16" s="62">
        <f t="shared" si="3"/>
        <v>1516.84</v>
      </c>
      <c r="N16" s="62">
        <f t="shared" si="3"/>
        <v>2092.84</v>
      </c>
      <c r="O16" s="62">
        <f t="shared" si="3"/>
        <v>2830.94</v>
      </c>
      <c r="P16" s="66">
        <f t="shared" si="3"/>
        <v>3788.05</v>
      </c>
      <c r="Q16" s="45" t="s">
        <v>88</v>
      </c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>
      <c r="A17" s="1"/>
      <c r="B17" s="1"/>
      <c r="C17" s="46" t="s">
        <v>91</v>
      </c>
      <c r="D17" s="37" t="s">
        <v>94</v>
      </c>
      <c r="E17" s="56">
        <f>E12</f>
        <v>1000</v>
      </c>
      <c r="F17" s="57">
        <f>E17+F12</f>
        <v>1495</v>
      </c>
      <c r="G17" s="58">
        <f>F17+G12</f>
        <v>2280.9</v>
      </c>
      <c r="H17" s="59">
        <f>G17+H12</f>
        <v>2829.27</v>
      </c>
      <c r="I17" s="60">
        <f t="shared" ref="I17:P17" si="4">H17+I12</f>
        <v>3127.71</v>
      </c>
      <c r="J17" s="61">
        <f t="shared" si="4"/>
        <v>4009.96</v>
      </c>
      <c r="K17" s="62">
        <f t="shared" si="4"/>
        <v>4646.66</v>
      </c>
      <c r="L17" s="62">
        <f t="shared" si="4"/>
        <v>5045.24</v>
      </c>
      <c r="M17" s="62">
        <f t="shared" si="4"/>
        <v>4883.16</v>
      </c>
      <c r="N17" s="62">
        <f t="shared" si="4"/>
        <v>5288.16</v>
      </c>
      <c r="O17" s="62">
        <f t="shared" si="4"/>
        <v>5870.0599999999995</v>
      </c>
      <c r="P17" s="66">
        <f t="shared" si="4"/>
        <v>5800.9499999999989</v>
      </c>
      <c r="Q17" s="45" t="s">
        <v>88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>
      <c r="A18" s="1"/>
      <c r="B18" s="1"/>
      <c r="C18" s="46" t="s">
        <v>95</v>
      </c>
      <c r="D18" s="55" t="s">
        <v>96</v>
      </c>
      <c r="E18" s="67">
        <v>1000</v>
      </c>
      <c r="F18" s="68">
        <v>1505</v>
      </c>
      <c r="G18" s="69">
        <v>2321</v>
      </c>
      <c r="H18" s="70">
        <v>2939</v>
      </c>
      <c r="I18" s="71">
        <v>3355</v>
      </c>
      <c r="J18" s="72">
        <v>4405</v>
      </c>
      <c r="K18" s="73">
        <v>5306</v>
      </c>
      <c r="L18" s="73">
        <v>6076</v>
      </c>
      <c r="M18" s="73">
        <v>6400</v>
      </c>
      <c r="N18" s="73">
        <v>7381</v>
      </c>
      <c r="O18" s="73">
        <v>8701</v>
      </c>
      <c r="P18" s="74">
        <v>9589</v>
      </c>
      <c r="Q18" s="45" t="s">
        <v>88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>
      <c r="A19" s="1"/>
      <c r="B19" s="1"/>
      <c r="C19" s="1"/>
      <c r="D19" s="1"/>
      <c r="E19" s="1"/>
      <c r="F19" s="1"/>
      <c r="G19" s="1"/>
      <c r="H19" s="1"/>
      <c r="I19" s="1"/>
      <c r="J19" s="1"/>
      <c r="K19" s="24"/>
      <c r="L19" s="24"/>
      <c r="M19" s="24"/>
      <c r="N19" s="24"/>
      <c r="O19" s="24"/>
      <c r="P19" s="24"/>
      <c r="Q19" s="75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76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1"/>
      <c r="BI20" s="1"/>
      <c r="BJ20" s="1"/>
      <c r="BK20" s="1"/>
      <c r="BL20" s="1"/>
    </row>
    <row r="21" spans="1:64" s="27" customFormat="1" ht="14.5">
      <c r="A21" s="24"/>
      <c r="B21" s="24"/>
      <c r="C21" s="24"/>
      <c r="D21" s="31" t="s">
        <v>97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75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</row>
    <row r="22" spans="1:64" s="27" customFormat="1">
      <c r="A22" s="24"/>
      <c r="B22" s="24"/>
      <c r="C22" s="33" t="s">
        <v>71</v>
      </c>
      <c r="D22" s="34" t="s">
        <v>72</v>
      </c>
      <c r="E22" s="34" t="s">
        <v>73</v>
      </c>
      <c r="F22" s="34" t="s">
        <v>74</v>
      </c>
      <c r="G22" s="34" t="s">
        <v>75</v>
      </c>
      <c r="H22" s="34" t="s">
        <v>76</v>
      </c>
      <c r="I22" s="34" t="s">
        <v>77</v>
      </c>
      <c r="J22" s="34" t="s">
        <v>78</v>
      </c>
      <c r="K22" s="34" t="s">
        <v>79</v>
      </c>
      <c r="L22" s="34" t="s">
        <v>80</v>
      </c>
      <c r="M22" s="34" t="s">
        <v>81</v>
      </c>
      <c r="N22" s="34" t="s">
        <v>82</v>
      </c>
      <c r="O22" s="34" t="s">
        <v>83</v>
      </c>
      <c r="P22" s="34" t="s">
        <v>84</v>
      </c>
      <c r="Q22" s="35" t="s">
        <v>85</v>
      </c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</row>
    <row r="23" spans="1:64" s="27" customFormat="1">
      <c r="A23" s="24"/>
      <c r="B23" s="24"/>
      <c r="C23" s="77" t="s">
        <v>98</v>
      </c>
      <c r="D23" s="55" t="s">
        <v>96</v>
      </c>
      <c r="E23" s="78">
        <v>1000</v>
      </c>
      <c r="F23" s="79">
        <v>1505</v>
      </c>
      <c r="G23" s="80">
        <v>2321</v>
      </c>
      <c r="H23" s="81">
        <v>2939</v>
      </c>
      <c r="I23" s="82">
        <v>3355</v>
      </c>
      <c r="J23" s="83">
        <v>4405</v>
      </c>
      <c r="K23" s="84">
        <v>5306</v>
      </c>
      <c r="L23" s="84">
        <v>6076</v>
      </c>
      <c r="M23" s="84">
        <v>6400</v>
      </c>
      <c r="N23" s="84">
        <v>7381</v>
      </c>
      <c r="O23" s="84">
        <v>8701</v>
      </c>
      <c r="P23" s="85">
        <v>9589</v>
      </c>
      <c r="Q23" s="45" t="s">
        <v>88</v>
      </c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</row>
    <row r="24" spans="1:64">
      <c r="A24" s="1"/>
      <c r="B24" s="1"/>
      <c r="C24" s="86" t="s">
        <v>99</v>
      </c>
      <c r="D24" s="47" t="s">
        <v>90</v>
      </c>
      <c r="E24" s="48">
        <v>0</v>
      </c>
      <c r="F24" s="87">
        <v>0.01</v>
      </c>
      <c r="G24" s="88">
        <v>0.02</v>
      </c>
      <c r="H24" s="89">
        <v>0.03</v>
      </c>
      <c r="I24" s="90">
        <v>0.04</v>
      </c>
      <c r="J24" s="91">
        <v>0.05</v>
      </c>
      <c r="K24" s="92">
        <v>0.06</v>
      </c>
      <c r="L24" s="92">
        <v>7.0000000000000007E-2</v>
      </c>
      <c r="M24" s="92">
        <v>0.08</v>
      </c>
      <c r="N24" s="92">
        <v>0.09</v>
      </c>
      <c r="O24" s="92">
        <v>0.1</v>
      </c>
      <c r="P24" s="92">
        <v>0.11</v>
      </c>
      <c r="Q24" s="75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s="27" customFormat="1">
      <c r="A25" s="24"/>
      <c r="B25" s="24"/>
      <c r="C25" s="77"/>
      <c r="D25" s="63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75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</row>
    <row r="26" spans="1:64" s="27" customFormat="1">
      <c r="A26" s="24"/>
      <c r="B26" s="24"/>
      <c r="C26" s="46" t="s">
        <v>91</v>
      </c>
      <c r="D26" s="37" t="s">
        <v>87</v>
      </c>
      <c r="E26" s="93">
        <f>E23</f>
        <v>1000</v>
      </c>
      <c r="F26" s="93">
        <f>(F23-E23)-(E23*F24)</f>
        <v>495</v>
      </c>
      <c r="G26" s="93">
        <f t="shared" ref="G26:P26" si="5">(G23-F23)-(F23*G24)</f>
        <v>785.9</v>
      </c>
      <c r="H26" s="93">
        <f t="shared" si="5"/>
        <v>548.37</v>
      </c>
      <c r="I26" s="93">
        <f t="shared" si="5"/>
        <v>298.44</v>
      </c>
      <c r="J26" s="93">
        <f t="shared" si="5"/>
        <v>882.25</v>
      </c>
      <c r="K26" s="93">
        <f t="shared" si="5"/>
        <v>636.70000000000005</v>
      </c>
      <c r="L26" s="93">
        <f t="shared" si="5"/>
        <v>398.58</v>
      </c>
      <c r="M26" s="93">
        <f t="shared" si="5"/>
        <v>-162.07999999999998</v>
      </c>
      <c r="N26" s="93">
        <f t="shared" si="5"/>
        <v>405</v>
      </c>
      <c r="O26" s="93">
        <f t="shared" si="5"/>
        <v>581.9</v>
      </c>
      <c r="P26" s="93">
        <f t="shared" si="5"/>
        <v>-69.110000000000014</v>
      </c>
      <c r="Q26" s="45">
        <f>SUM(E26:P26)</f>
        <v>5800.95</v>
      </c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</row>
    <row r="27" spans="1:64">
      <c r="A27" s="1"/>
      <c r="B27" s="1"/>
      <c r="C27" s="46" t="s">
        <v>91</v>
      </c>
      <c r="D27" s="37" t="s">
        <v>94</v>
      </c>
      <c r="E27" s="94">
        <f>E26</f>
        <v>1000</v>
      </c>
      <c r="F27" s="94">
        <f>E27+F26</f>
        <v>1495</v>
      </c>
      <c r="G27" s="94">
        <f t="shared" ref="G27:H27" si="6">F27+G26</f>
        <v>2280.9</v>
      </c>
      <c r="H27" s="94">
        <f t="shared" si="6"/>
        <v>2829.27</v>
      </c>
      <c r="I27" s="94">
        <f>H27+I26</f>
        <v>3127.71</v>
      </c>
      <c r="J27" s="94">
        <f t="shared" ref="J27:P27" si="7">I27+J26</f>
        <v>4009.96</v>
      </c>
      <c r="K27" s="94">
        <f t="shared" si="7"/>
        <v>4646.66</v>
      </c>
      <c r="L27" s="94">
        <f t="shared" si="7"/>
        <v>5045.24</v>
      </c>
      <c r="M27" s="94">
        <f t="shared" si="7"/>
        <v>4883.16</v>
      </c>
      <c r="N27" s="94">
        <f t="shared" si="7"/>
        <v>5288.16</v>
      </c>
      <c r="O27" s="94">
        <f t="shared" si="7"/>
        <v>5870.0599999999995</v>
      </c>
      <c r="P27" s="95">
        <f t="shared" si="7"/>
        <v>5800.95</v>
      </c>
      <c r="Q27" s="45" t="s">
        <v>88</v>
      </c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>
      <c r="A28" s="1"/>
      <c r="B28" s="1"/>
      <c r="C28" s="46" t="s">
        <v>91</v>
      </c>
      <c r="D28" s="37" t="s">
        <v>92</v>
      </c>
      <c r="E28" s="94">
        <f>E23*E24</f>
        <v>0</v>
      </c>
      <c r="F28" s="94">
        <f>E23*F24</f>
        <v>10</v>
      </c>
      <c r="G28" s="94">
        <f>F23*G24</f>
        <v>30.1</v>
      </c>
      <c r="H28" s="94">
        <f t="shared" ref="H28:P28" si="8">G23*H24</f>
        <v>69.63</v>
      </c>
      <c r="I28" s="94">
        <f t="shared" si="8"/>
        <v>117.56</v>
      </c>
      <c r="J28" s="94">
        <f t="shared" si="8"/>
        <v>167.75</v>
      </c>
      <c r="K28" s="94">
        <f t="shared" si="8"/>
        <v>264.3</v>
      </c>
      <c r="L28" s="94">
        <f t="shared" si="8"/>
        <v>371.42</v>
      </c>
      <c r="M28" s="94">
        <f t="shared" si="8"/>
        <v>486.08</v>
      </c>
      <c r="N28" s="94">
        <f t="shared" si="8"/>
        <v>576</v>
      </c>
      <c r="O28" s="94">
        <f t="shared" si="8"/>
        <v>738.1</v>
      </c>
      <c r="P28" s="94">
        <f t="shared" si="8"/>
        <v>957.11</v>
      </c>
      <c r="Q28" s="45">
        <f t="shared" ref="Q28" si="9">SUM(E28:P28)</f>
        <v>3788.05</v>
      </c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>
      <c r="A29" s="1"/>
      <c r="B29" s="1"/>
      <c r="C29" s="46" t="s">
        <v>91</v>
      </c>
      <c r="D29" s="37" t="s">
        <v>93</v>
      </c>
      <c r="E29" s="94">
        <f>E28</f>
        <v>0</v>
      </c>
      <c r="F29" s="94">
        <f>E29+F28</f>
        <v>10</v>
      </c>
      <c r="G29" s="94">
        <f>F29+G28</f>
        <v>40.1</v>
      </c>
      <c r="H29" s="94">
        <f t="shared" ref="H29:P29" si="10">G29+H28</f>
        <v>109.72999999999999</v>
      </c>
      <c r="I29" s="94">
        <f t="shared" si="10"/>
        <v>227.29</v>
      </c>
      <c r="J29" s="94">
        <f t="shared" si="10"/>
        <v>395.03999999999996</v>
      </c>
      <c r="K29" s="94">
        <f t="shared" si="10"/>
        <v>659.33999999999992</v>
      </c>
      <c r="L29" s="94">
        <f t="shared" si="10"/>
        <v>1030.76</v>
      </c>
      <c r="M29" s="94">
        <f t="shared" si="10"/>
        <v>1516.84</v>
      </c>
      <c r="N29" s="94">
        <f t="shared" si="10"/>
        <v>2092.84</v>
      </c>
      <c r="O29" s="94">
        <f t="shared" si="10"/>
        <v>2830.94</v>
      </c>
      <c r="P29" s="95">
        <f t="shared" si="10"/>
        <v>3788.05</v>
      </c>
      <c r="Q29" s="45" t="s">
        <v>88</v>
      </c>
      <c r="R29" s="24"/>
      <c r="S29" s="24"/>
      <c r="T29" s="24"/>
      <c r="U29" s="24"/>
      <c r="V29" s="24"/>
      <c r="W29" s="24"/>
      <c r="X29" s="75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>
      <c r="A30" s="1"/>
      <c r="B30" s="1"/>
      <c r="C30" s="1"/>
      <c r="D30" s="1"/>
      <c r="E30" s="1"/>
      <c r="F30" s="1"/>
      <c r="G30" s="1"/>
      <c r="H30" s="1"/>
      <c r="I30" s="1"/>
      <c r="J30" s="1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 spans="1:64">
      <c r="A31" s="1"/>
      <c r="B31" s="1"/>
      <c r="C31" s="1"/>
      <c r="D31" s="1"/>
      <c r="E31" s="1"/>
      <c r="F31" s="1"/>
      <c r="G31" s="1"/>
      <c r="H31" s="1"/>
      <c r="I31" s="1"/>
      <c r="J31" s="1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 spans="1:64" s="27" customFormat="1" ht="14.5">
      <c r="A32" s="24"/>
      <c r="B32" s="24"/>
      <c r="C32" s="24"/>
      <c r="D32" s="96" t="s">
        <v>100</v>
      </c>
      <c r="E32" s="5"/>
      <c r="F32" s="5"/>
      <c r="G32" s="5"/>
      <c r="H32" s="5"/>
      <c r="I32" s="5"/>
      <c r="J32" s="5"/>
      <c r="K32" s="5"/>
      <c r="L32" s="5"/>
      <c r="M32" s="24"/>
      <c r="N32" s="24"/>
      <c r="O32" s="24"/>
      <c r="P32" s="24"/>
      <c r="Q32" s="75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</row>
    <row r="33" spans="1:64" s="27" customFormat="1">
      <c r="A33" s="24"/>
      <c r="B33" s="24"/>
      <c r="C33" s="33" t="s">
        <v>71</v>
      </c>
      <c r="D33" s="34" t="s">
        <v>72</v>
      </c>
      <c r="E33" s="34" t="s">
        <v>73</v>
      </c>
      <c r="F33" s="34" t="s">
        <v>74</v>
      </c>
      <c r="G33" s="34" t="s">
        <v>75</v>
      </c>
      <c r="H33" s="34" t="s">
        <v>76</v>
      </c>
      <c r="I33" s="34" t="s">
        <v>77</v>
      </c>
      <c r="J33" s="34" t="s">
        <v>78</v>
      </c>
      <c r="K33" s="34" t="s">
        <v>79</v>
      </c>
      <c r="L33" s="34" t="s">
        <v>80</v>
      </c>
      <c r="M33" s="34" t="s">
        <v>81</v>
      </c>
      <c r="N33" s="34" t="s">
        <v>82</v>
      </c>
      <c r="O33" s="34" t="s">
        <v>83</v>
      </c>
      <c r="P33" s="34" t="s">
        <v>84</v>
      </c>
      <c r="Q33" s="35" t="s">
        <v>85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</row>
    <row r="34" spans="1:64" s="27" customFormat="1" ht="13.1">
      <c r="A34" s="24"/>
      <c r="B34" s="24"/>
      <c r="C34" s="77" t="s">
        <v>98</v>
      </c>
      <c r="D34" s="55" t="s">
        <v>96</v>
      </c>
      <c r="E34" s="97">
        <v>803880</v>
      </c>
      <c r="F34" s="97">
        <v>1867989</v>
      </c>
      <c r="G34" s="97">
        <v>3071791</v>
      </c>
      <c r="H34" s="97">
        <v>4435155</v>
      </c>
      <c r="I34" s="97">
        <v>5851829</v>
      </c>
      <c r="J34" s="97">
        <v>7314381</v>
      </c>
      <c r="K34" s="97">
        <v>8857323</v>
      </c>
      <c r="L34" s="97">
        <v>10420880</v>
      </c>
      <c r="M34" s="97">
        <v>12145274</v>
      </c>
      <c r="N34" s="97">
        <v>13961323</v>
      </c>
      <c r="O34" s="97">
        <v>15768382</v>
      </c>
      <c r="P34" s="97">
        <v>17726261</v>
      </c>
      <c r="Q34" s="45" t="s">
        <v>88</v>
      </c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</row>
    <row r="35" spans="1:64">
      <c r="A35" s="1"/>
      <c r="B35" s="1"/>
      <c r="C35" s="86" t="s">
        <v>99</v>
      </c>
      <c r="D35" s="47" t="s">
        <v>90</v>
      </c>
      <c r="E35" s="98">
        <v>0</v>
      </c>
      <c r="F35" s="99">
        <v>0.13240676053524769</v>
      </c>
      <c r="G35" s="100">
        <v>0.11009700156540236</v>
      </c>
      <c r="H35" s="101">
        <v>8.8319207606050831E-2</v>
      </c>
      <c r="I35" s="102">
        <v>4.176327882665154E-2</v>
      </c>
      <c r="J35" s="103">
        <v>4.5770657883027477E-2</v>
      </c>
      <c r="K35" s="104">
        <v>4.0309336951463992E-2</v>
      </c>
      <c r="L35" s="104">
        <v>4.1722732793725292E-2</v>
      </c>
      <c r="M35" s="104">
        <v>3.4692081048066425E-2</v>
      </c>
      <c r="N35" s="104">
        <v>2.6917380413114644E-2</v>
      </c>
      <c r="O35" s="104">
        <v>2.4265560755083682E-2</v>
      </c>
      <c r="P35" s="104">
        <v>2.7041040514633741E-2</v>
      </c>
      <c r="Q35" s="75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s="27" customFormat="1">
      <c r="A36" s="24"/>
      <c r="B36" s="24"/>
      <c r="C36" s="77"/>
      <c r="D36" s="63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75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</row>
    <row r="37" spans="1:64" s="27" customFormat="1">
      <c r="A37" s="24"/>
      <c r="B37" s="24"/>
      <c r="C37" s="46" t="s">
        <v>91</v>
      </c>
      <c r="D37" s="37" t="s">
        <v>87</v>
      </c>
      <c r="E37" s="93">
        <f>E34</f>
        <v>803880</v>
      </c>
      <c r="F37" s="93">
        <f>(F34-E34)-(E34*F35)</f>
        <v>957669.85334092507</v>
      </c>
      <c r="G37" s="93">
        <f t="shared" ref="G37:P37" si="11">(G34-F34)-(F34*G35)</f>
        <v>998142.01214284566</v>
      </c>
      <c r="H37" s="93">
        <f t="shared" si="11"/>
        <v>1092065.8529486016</v>
      </c>
      <c r="I37" s="93">
        <f t="shared" si="11"/>
        <v>1231447.3850955823</v>
      </c>
      <c r="J37" s="93">
        <f t="shared" si="11"/>
        <v>1194709.9368510211</v>
      </c>
      <c r="K37" s="93">
        <f t="shared" si="11"/>
        <v>1248104.1516796139</v>
      </c>
      <c r="L37" s="93">
        <f t="shared" si="11"/>
        <v>1194005.2792032827</v>
      </c>
      <c r="M37" s="93">
        <f t="shared" si="11"/>
        <v>1362871.9864478256</v>
      </c>
      <c r="N37" s="93">
        <f t="shared" si="11"/>
        <v>1489130.0395204895</v>
      </c>
      <c r="O37" s="93">
        <f t="shared" si="11"/>
        <v>1468279.6685221528</v>
      </c>
      <c r="P37" s="93">
        <f t="shared" si="11"/>
        <v>1531485.5434877786</v>
      </c>
      <c r="Q37" s="45">
        <f>SUM(E37:P37)</f>
        <v>14571791.709240118</v>
      </c>
      <c r="R37" s="37" t="s">
        <v>94</v>
      </c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</row>
    <row r="38" spans="1:64">
      <c r="A38" s="1"/>
      <c r="B38" s="1"/>
      <c r="C38" s="46" t="s">
        <v>91</v>
      </c>
      <c r="D38" s="37" t="s">
        <v>94</v>
      </c>
      <c r="E38" s="94">
        <f>E37</f>
        <v>803880</v>
      </c>
      <c r="F38" s="94">
        <f>E38+F37</f>
        <v>1761549.8533409252</v>
      </c>
      <c r="G38" s="94">
        <f t="shared" ref="G38:H38" si="12">F38+G37</f>
        <v>2759691.8654837711</v>
      </c>
      <c r="H38" s="94">
        <f t="shared" si="12"/>
        <v>3851757.7184323724</v>
      </c>
      <c r="I38" s="105">
        <f>H38+I37</f>
        <v>5083205.1035279548</v>
      </c>
      <c r="J38" s="94">
        <f t="shared" ref="J38:P38" si="13">I38+J37</f>
        <v>6277915.0403789757</v>
      </c>
      <c r="K38" s="94">
        <f t="shared" si="13"/>
        <v>7526019.1920585893</v>
      </c>
      <c r="L38" s="94">
        <f t="shared" si="13"/>
        <v>8720024.471261872</v>
      </c>
      <c r="M38" s="94">
        <f t="shared" si="13"/>
        <v>10082896.457709698</v>
      </c>
      <c r="N38" s="94">
        <f t="shared" si="13"/>
        <v>11572026.497230187</v>
      </c>
      <c r="O38" s="94">
        <f t="shared" si="13"/>
        <v>13040306.16575234</v>
      </c>
      <c r="P38" s="95">
        <f t="shared" si="13"/>
        <v>14571791.709240118</v>
      </c>
      <c r="Q38" s="45" t="s">
        <v>88</v>
      </c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>
      <c r="A39" s="1"/>
      <c r="B39" s="1"/>
      <c r="C39" s="46" t="s">
        <v>91</v>
      </c>
      <c r="D39" s="37" t="s">
        <v>92</v>
      </c>
      <c r="E39" s="94">
        <f>E34*E35</f>
        <v>0</v>
      </c>
      <c r="F39" s="94">
        <f>E34*F35</f>
        <v>106439.14665907492</v>
      </c>
      <c r="G39" s="94">
        <f>F34*G35</f>
        <v>205659.9878571544</v>
      </c>
      <c r="H39" s="94">
        <f t="shared" ref="H39:P39" si="14">G34*H35</f>
        <v>271298.14705139847</v>
      </c>
      <c r="I39" s="94">
        <f t="shared" si="14"/>
        <v>185226.61490441771</v>
      </c>
      <c r="J39" s="94">
        <f t="shared" si="14"/>
        <v>267842.06314897881</v>
      </c>
      <c r="K39" s="94">
        <f t="shared" si="14"/>
        <v>294837.84832038614</v>
      </c>
      <c r="L39" s="94">
        <f t="shared" si="14"/>
        <v>369551.72079671727</v>
      </c>
      <c r="M39" s="94">
        <f t="shared" si="14"/>
        <v>361522.01355217444</v>
      </c>
      <c r="N39" s="94">
        <f t="shared" si="14"/>
        <v>326918.96047951054</v>
      </c>
      <c r="O39" s="94">
        <f t="shared" si="14"/>
        <v>338779.33147784718</v>
      </c>
      <c r="P39" s="94">
        <f t="shared" si="14"/>
        <v>426393.45651222143</v>
      </c>
      <c r="Q39" s="45">
        <f t="shared" ref="Q39" si="15">SUM(E39:P39)</f>
        <v>3154469.2907598815</v>
      </c>
      <c r="R39" s="37" t="s">
        <v>93</v>
      </c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>
      <c r="A40" s="1"/>
      <c r="B40" s="1"/>
      <c r="C40" s="46" t="s">
        <v>91</v>
      </c>
      <c r="D40" s="37" t="s">
        <v>93</v>
      </c>
      <c r="E40" s="94">
        <f>E39</f>
        <v>0</v>
      </c>
      <c r="F40" s="94">
        <f>E40+F39</f>
        <v>106439.14665907492</v>
      </c>
      <c r="G40" s="94">
        <f>F40+G39</f>
        <v>312099.13451622933</v>
      </c>
      <c r="H40" s="94">
        <f t="shared" ref="H40:P40" si="16">G40+H39</f>
        <v>583397.2815676278</v>
      </c>
      <c r="I40" s="105">
        <f t="shared" si="16"/>
        <v>768623.89647204545</v>
      </c>
      <c r="J40" s="94">
        <f t="shared" si="16"/>
        <v>1036465.9596210243</v>
      </c>
      <c r="K40" s="94">
        <f t="shared" si="16"/>
        <v>1331303.8079414105</v>
      </c>
      <c r="L40" s="94">
        <f t="shared" si="16"/>
        <v>1700855.5287381278</v>
      </c>
      <c r="M40" s="94">
        <f t="shared" si="16"/>
        <v>2062377.5422903022</v>
      </c>
      <c r="N40" s="94">
        <f t="shared" si="16"/>
        <v>2389296.5027698129</v>
      </c>
      <c r="O40" s="94">
        <f t="shared" si="16"/>
        <v>2728075.8342476599</v>
      </c>
      <c r="P40" s="95">
        <f t="shared" si="16"/>
        <v>3154469.2907598815</v>
      </c>
      <c r="Q40" s="45" t="s">
        <v>88</v>
      </c>
      <c r="R40" s="24"/>
      <c r="S40" s="24"/>
      <c r="T40" s="24"/>
      <c r="U40" s="24"/>
      <c r="V40" s="24"/>
      <c r="W40" s="24"/>
      <c r="X40" s="75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>
      <c r="A41" s="1"/>
      <c r="B41" s="1"/>
      <c r="C41" s="1"/>
      <c r="D41" s="1"/>
      <c r="E41" s="1"/>
      <c r="F41" s="1"/>
      <c r="G41" s="1"/>
      <c r="H41" s="1"/>
      <c r="I41" s="1"/>
      <c r="J41" s="1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</row>
    <row r="42" spans="1:64">
      <c r="A42" s="1"/>
      <c r="B42" s="1"/>
      <c r="C42" s="1"/>
      <c r="D42" s="1"/>
      <c r="E42" s="1"/>
      <c r="F42" s="1"/>
      <c r="G42" s="1"/>
      <c r="H42" s="1"/>
      <c r="I42" s="1"/>
      <c r="J42" s="1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 spans="1:64" s="27" customFormat="1" ht="14.5">
      <c r="A43" s="24"/>
      <c r="B43" s="24"/>
      <c r="C43" s="24"/>
      <c r="D43" s="96" t="s">
        <v>101</v>
      </c>
      <c r="E43" s="5"/>
      <c r="F43" s="5"/>
      <c r="G43" s="5"/>
      <c r="H43" s="5"/>
      <c r="I43" s="5"/>
      <c r="J43" s="5"/>
      <c r="K43" s="5"/>
      <c r="L43" s="5"/>
      <c r="M43" s="24"/>
      <c r="N43" s="24"/>
      <c r="O43" s="24"/>
      <c r="P43" s="24"/>
      <c r="Q43" s="75"/>
      <c r="R43" s="24"/>
      <c r="S43" s="24"/>
      <c r="T43" s="106" t="s">
        <v>102</v>
      </c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</row>
    <row r="44" spans="1:64" s="27" customFormat="1">
      <c r="A44" s="24"/>
      <c r="B44" s="24"/>
      <c r="C44" s="33" t="s">
        <v>71</v>
      </c>
      <c r="D44" s="34" t="s">
        <v>72</v>
      </c>
      <c r="E44" s="34" t="s">
        <v>73</v>
      </c>
      <c r="F44" s="34" t="s">
        <v>74</v>
      </c>
      <c r="G44" s="34" t="s">
        <v>75</v>
      </c>
      <c r="H44" s="34" t="s">
        <v>76</v>
      </c>
      <c r="I44" s="34" t="s">
        <v>77</v>
      </c>
      <c r="J44" s="34" t="s">
        <v>78</v>
      </c>
      <c r="K44" s="34" t="s">
        <v>79</v>
      </c>
      <c r="L44" s="34" t="s">
        <v>80</v>
      </c>
      <c r="M44" s="34" t="s">
        <v>81</v>
      </c>
      <c r="N44" s="34" t="s">
        <v>82</v>
      </c>
      <c r="O44" s="34" t="s">
        <v>83</v>
      </c>
      <c r="P44" s="34" t="s">
        <v>84</v>
      </c>
      <c r="Q44" s="35" t="s">
        <v>85</v>
      </c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</row>
    <row r="45" spans="1:64" s="27" customFormat="1" ht="13.1">
      <c r="A45" s="24"/>
      <c r="B45" s="24"/>
      <c r="C45" s="77" t="s">
        <v>98</v>
      </c>
      <c r="D45" s="55" t="s">
        <v>96</v>
      </c>
      <c r="E45" s="97">
        <v>582301</v>
      </c>
      <c r="F45" s="97">
        <v>989530</v>
      </c>
      <c r="G45" s="97">
        <v>1547916</v>
      </c>
      <c r="H45" s="97">
        <v>2200643</v>
      </c>
      <c r="I45" s="97">
        <v>2852509</v>
      </c>
      <c r="J45" s="97">
        <v>3513673</v>
      </c>
      <c r="K45" s="97">
        <v>4328622</v>
      </c>
      <c r="L45" s="97">
        <v>5114834</v>
      </c>
      <c r="M45" s="97">
        <v>5886178</v>
      </c>
      <c r="N45" s="97">
        <v>6849759</v>
      </c>
      <c r="O45" s="97">
        <v>7930734</v>
      </c>
      <c r="P45" s="97">
        <v>9271882</v>
      </c>
      <c r="Q45" s="45" t="s">
        <v>88</v>
      </c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</row>
    <row r="46" spans="1:64">
      <c r="A46" s="1"/>
      <c r="B46" s="1"/>
      <c r="C46" s="86" t="s">
        <v>99</v>
      </c>
      <c r="D46" s="47" t="s">
        <v>90</v>
      </c>
      <c r="E46" s="98">
        <v>0</v>
      </c>
      <c r="F46" s="99">
        <v>0.13240676053524769</v>
      </c>
      <c r="G46" s="100">
        <v>0.11009700156540236</v>
      </c>
      <c r="H46" s="101">
        <v>8.8319207606050831E-2</v>
      </c>
      <c r="I46" s="102">
        <v>4.176327882665154E-2</v>
      </c>
      <c r="J46" s="103">
        <v>4.5770657883027477E-2</v>
      </c>
      <c r="K46" s="104">
        <v>4.0309336951463992E-2</v>
      </c>
      <c r="L46" s="104">
        <v>4.1722732793725292E-2</v>
      </c>
      <c r="M46" s="104">
        <v>3.4692081048066425E-2</v>
      </c>
      <c r="N46" s="104">
        <v>2.6917380413114644E-2</v>
      </c>
      <c r="O46" s="104">
        <v>2.4265560755083682E-2</v>
      </c>
      <c r="P46" s="104">
        <v>2.7041040514633741E-2</v>
      </c>
      <c r="Q46" s="75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s="27" customFormat="1">
      <c r="A47" s="24"/>
      <c r="B47" s="24"/>
      <c r="C47" s="77"/>
      <c r="D47" s="63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75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</row>
    <row r="48" spans="1:64" s="27" customFormat="1">
      <c r="A48" s="24"/>
      <c r="B48" s="24"/>
      <c r="C48" s="46" t="s">
        <v>91</v>
      </c>
      <c r="D48" s="37" t="s">
        <v>87</v>
      </c>
      <c r="E48" s="93">
        <f>E45</f>
        <v>582301</v>
      </c>
      <c r="F48" s="93">
        <f>(F45-E45)-(E45*F46)</f>
        <v>330128.41093356477</v>
      </c>
      <c r="G48" s="93">
        <f t="shared" ref="G48:P48" si="17">(G45-F45)-(F45*G46)</f>
        <v>449441.71404098743</v>
      </c>
      <c r="H48" s="93">
        <f t="shared" si="17"/>
        <v>516016.28543927218</v>
      </c>
      <c r="I48" s="93">
        <f t="shared" si="17"/>
        <v>559959.93279308104</v>
      </c>
      <c r="J48" s="93">
        <f t="shared" si="17"/>
        <v>530602.78645274322</v>
      </c>
      <c r="K48" s="93">
        <f t="shared" si="17"/>
        <v>673315.17110573873</v>
      </c>
      <c r="L48" s="93">
        <f t="shared" si="17"/>
        <v>605610.06092895917</v>
      </c>
      <c r="M48" s="93">
        <f t="shared" si="17"/>
        <v>593899.76432459417</v>
      </c>
      <c r="N48" s="93">
        <f t="shared" si="17"/>
        <v>805140.50759469368</v>
      </c>
      <c r="O48" s="93">
        <f t="shared" si="17"/>
        <v>914761.7568278187</v>
      </c>
      <c r="P48" s="93">
        <f t="shared" si="17"/>
        <v>1126692.7005952168</v>
      </c>
      <c r="Q48" s="45">
        <f>SUM(E48:P48)</f>
        <v>7687870.0910366699</v>
      </c>
      <c r="R48" s="37" t="s">
        <v>94</v>
      </c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</row>
    <row r="49" spans="1:64">
      <c r="A49" s="1"/>
      <c r="B49" s="1"/>
      <c r="C49" s="46" t="s">
        <v>91</v>
      </c>
      <c r="D49" s="37" t="s">
        <v>94</v>
      </c>
      <c r="E49" s="94">
        <f>E48</f>
        <v>582301</v>
      </c>
      <c r="F49" s="94">
        <f>E49+F48</f>
        <v>912429.41093356477</v>
      </c>
      <c r="G49" s="94">
        <f t="shared" ref="G49:H49" si="18">F49+G48</f>
        <v>1361871.1249745521</v>
      </c>
      <c r="H49" s="94">
        <f t="shared" si="18"/>
        <v>1877887.4104138243</v>
      </c>
      <c r="I49" s="94">
        <f>H49+I48</f>
        <v>2437847.3432069053</v>
      </c>
      <c r="J49" s="94">
        <f t="shared" ref="J49:P49" si="19">I49+J48</f>
        <v>2968450.1296596485</v>
      </c>
      <c r="K49" s="94">
        <f t="shared" si="19"/>
        <v>3641765.3007653872</v>
      </c>
      <c r="L49" s="94">
        <f t="shared" si="19"/>
        <v>4247375.3616943462</v>
      </c>
      <c r="M49" s="94">
        <f t="shared" si="19"/>
        <v>4841275.1260189405</v>
      </c>
      <c r="N49" s="94">
        <f t="shared" si="19"/>
        <v>5646415.6336136339</v>
      </c>
      <c r="O49" s="94">
        <f t="shared" si="19"/>
        <v>6561177.3904414531</v>
      </c>
      <c r="P49" s="95">
        <f t="shared" si="19"/>
        <v>7687870.0910366699</v>
      </c>
      <c r="Q49" s="45" t="s">
        <v>88</v>
      </c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>
      <c r="A50" s="1"/>
      <c r="B50" s="1"/>
      <c r="C50" s="46" t="s">
        <v>91</v>
      </c>
      <c r="D50" s="37" t="s">
        <v>92</v>
      </c>
      <c r="E50" s="94">
        <f>E45*E46</f>
        <v>0</v>
      </c>
      <c r="F50" s="94">
        <f>E45*F46</f>
        <v>77100.589066435263</v>
      </c>
      <c r="G50" s="94">
        <f>F45*G46</f>
        <v>108944.2859590126</v>
      </c>
      <c r="H50" s="94">
        <f t="shared" ref="H50:P50" si="20">G45*H46</f>
        <v>136710.71456072779</v>
      </c>
      <c r="I50" s="94">
        <f t="shared" si="20"/>
        <v>91906.067206918931</v>
      </c>
      <c r="J50" s="94">
        <f t="shared" si="20"/>
        <v>130561.21354725682</v>
      </c>
      <c r="K50" s="94">
        <f t="shared" si="20"/>
        <v>141633.82889426133</v>
      </c>
      <c r="L50" s="94">
        <f t="shared" si="20"/>
        <v>180601.93907104078</v>
      </c>
      <c r="M50" s="94">
        <f t="shared" si="20"/>
        <v>177444.2356754058</v>
      </c>
      <c r="N50" s="94">
        <f t="shared" si="20"/>
        <v>158440.49240530634</v>
      </c>
      <c r="O50" s="94">
        <f t="shared" si="20"/>
        <v>166213.24317218125</v>
      </c>
      <c r="P50" s="94">
        <f t="shared" si="20"/>
        <v>214455.29940478329</v>
      </c>
      <c r="Q50" s="45">
        <f t="shared" ref="Q50" si="21">SUM(E50:P50)</f>
        <v>1584011.9089633306</v>
      </c>
      <c r="R50" s="37" t="s">
        <v>93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>
      <c r="A51" s="1"/>
      <c r="B51" s="1"/>
      <c r="C51" s="46" t="s">
        <v>91</v>
      </c>
      <c r="D51" s="37" t="s">
        <v>93</v>
      </c>
      <c r="E51" s="94">
        <f>E50</f>
        <v>0</v>
      </c>
      <c r="F51" s="94">
        <f>E51+F50</f>
        <v>77100.589066435263</v>
      </c>
      <c r="G51" s="94">
        <f>F51+G50</f>
        <v>186044.87502544787</v>
      </c>
      <c r="H51" s="94">
        <f t="shared" ref="H51:P51" si="22">G51+H50</f>
        <v>322755.58958617563</v>
      </c>
      <c r="I51" s="94">
        <f t="shared" si="22"/>
        <v>414661.65679309459</v>
      </c>
      <c r="J51" s="94">
        <f t="shared" si="22"/>
        <v>545222.87034035136</v>
      </c>
      <c r="K51" s="94">
        <f t="shared" si="22"/>
        <v>686856.69923461275</v>
      </c>
      <c r="L51" s="94">
        <f t="shared" si="22"/>
        <v>867458.63830565359</v>
      </c>
      <c r="M51" s="94">
        <f t="shared" si="22"/>
        <v>1044902.8739810594</v>
      </c>
      <c r="N51" s="94">
        <f t="shared" si="22"/>
        <v>1203343.3663863658</v>
      </c>
      <c r="O51" s="94">
        <f t="shared" si="22"/>
        <v>1369556.6095585471</v>
      </c>
      <c r="P51" s="95">
        <f t="shared" si="22"/>
        <v>1584011.9089633306</v>
      </c>
      <c r="Q51" s="45" t="s">
        <v>88</v>
      </c>
      <c r="R51" s="24"/>
      <c r="S51" s="24"/>
      <c r="T51" s="24"/>
      <c r="U51" s="24"/>
      <c r="V51" s="24"/>
      <c r="W51" s="24"/>
      <c r="X51" s="75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>
      <c r="A52" s="1"/>
      <c r="B52" s="1"/>
      <c r="C52" s="46"/>
      <c r="D52" s="1"/>
      <c r="E52" s="1"/>
      <c r="F52" s="1"/>
      <c r="G52" s="1"/>
      <c r="H52" s="1"/>
      <c r="I52" s="1"/>
      <c r="J52" s="1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75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>
      <c r="A53" s="1"/>
      <c r="B53" s="1"/>
      <c r="C53" s="1"/>
      <c r="D53" s="1"/>
      <c r="E53" s="1"/>
      <c r="F53" s="1"/>
      <c r="G53" s="1"/>
      <c r="H53" s="1"/>
      <c r="I53" s="1"/>
      <c r="J53" s="1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75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>
      <c r="A54" s="1"/>
      <c r="B54" s="1"/>
      <c r="C54" s="1"/>
      <c r="D54" s="107" t="s">
        <v>87</v>
      </c>
      <c r="E54" s="108" t="s">
        <v>103</v>
      </c>
      <c r="F54" s="1"/>
      <c r="G54" s="1"/>
      <c r="H54" s="1"/>
      <c r="I54" s="1"/>
      <c r="J54" s="1"/>
      <c r="K54" s="24"/>
      <c r="L54" s="24"/>
      <c r="M54" s="24"/>
      <c r="N54" s="24"/>
      <c r="O54" s="24"/>
      <c r="P54" s="24"/>
      <c r="Q54" s="75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>
      <c r="A55" s="1"/>
      <c r="B55" s="1"/>
      <c r="C55" s="1"/>
      <c r="D55" s="107" t="s">
        <v>94</v>
      </c>
      <c r="E55" s="1" t="s">
        <v>104</v>
      </c>
      <c r="F55" s="1"/>
      <c r="G55" s="1"/>
      <c r="H55" s="1"/>
      <c r="I55" s="1"/>
      <c r="J55" s="1"/>
      <c r="K55" s="24"/>
      <c r="L55" s="24"/>
      <c r="M55" s="24"/>
      <c r="N55" s="24"/>
      <c r="O55" s="24"/>
      <c r="P55" s="24"/>
      <c r="Q55" s="75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>
      <c r="A56" s="1"/>
      <c r="B56" s="1"/>
      <c r="C56" s="1"/>
      <c r="D56" s="107" t="s">
        <v>92</v>
      </c>
      <c r="E56" s="108" t="s">
        <v>105</v>
      </c>
      <c r="F56" s="1"/>
      <c r="G56" s="1"/>
      <c r="H56" s="1"/>
      <c r="I56" s="1"/>
      <c r="J56" s="1"/>
      <c r="K56" s="24"/>
      <c r="L56" s="24"/>
      <c r="M56" s="24"/>
      <c r="N56" s="24"/>
      <c r="O56" s="24"/>
      <c r="P56" s="24"/>
    </row>
    <row r="57" spans="1:64">
      <c r="A57" s="1"/>
      <c r="B57" s="1"/>
      <c r="C57" s="1"/>
      <c r="D57" s="107" t="s">
        <v>93</v>
      </c>
      <c r="E57" s="1" t="s">
        <v>104</v>
      </c>
      <c r="F57" s="1"/>
      <c r="G57" s="1"/>
      <c r="H57" s="1"/>
      <c r="I57" s="1"/>
      <c r="J57" s="1"/>
      <c r="K57" s="24"/>
      <c r="L57" s="24"/>
      <c r="M57" s="24"/>
      <c r="N57" s="24"/>
      <c r="O57" s="24"/>
      <c r="P57" s="24"/>
    </row>
    <row r="58" spans="1:64">
      <c r="A58" s="1"/>
      <c r="B58" s="1"/>
      <c r="C58" s="1"/>
      <c r="D58" s="1"/>
      <c r="E58" s="1"/>
      <c r="F58" s="1"/>
      <c r="G58" s="1"/>
      <c r="H58" s="1"/>
      <c r="I58" s="1"/>
      <c r="J58" s="1"/>
      <c r="K58" s="24"/>
      <c r="L58" s="24"/>
      <c r="M58" s="24"/>
      <c r="N58" s="24"/>
      <c r="O58" s="24"/>
      <c r="P58" s="24"/>
    </row>
    <row r="59" spans="1:64" ht="16.399999999999999" customHeight="1">
      <c r="A59" s="1"/>
      <c r="B59" s="1"/>
      <c r="C59" s="1"/>
      <c r="D59" s="109" t="s">
        <v>87</v>
      </c>
      <c r="E59" s="110" t="s">
        <v>106</v>
      </c>
      <c r="F59" s="1"/>
      <c r="G59" s="1"/>
      <c r="H59" s="1"/>
      <c r="I59" s="1"/>
      <c r="J59" s="1"/>
      <c r="K59" s="24"/>
      <c r="L59" s="24"/>
      <c r="M59" s="24"/>
      <c r="N59" s="24"/>
      <c r="O59" s="24"/>
      <c r="P59" s="24"/>
    </row>
    <row r="60" spans="1:64">
      <c r="A60" s="1"/>
      <c r="B60" s="1"/>
      <c r="C60" s="1"/>
      <c r="D60" s="109" t="s">
        <v>107</v>
      </c>
      <c r="E60" s="110" t="s">
        <v>106</v>
      </c>
      <c r="F60" s="1"/>
      <c r="G60" s="1"/>
      <c r="H60" s="1"/>
      <c r="I60" s="1"/>
      <c r="J60" s="1"/>
      <c r="K60" s="24"/>
      <c r="L60" s="24"/>
      <c r="M60" s="24"/>
      <c r="N60" s="24"/>
      <c r="O60" s="24"/>
      <c r="P60" s="24"/>
    </row>
    <row r="61" spans="1:64">
      <c r="A61" s="1"/>
      <c r="B61" s="1"/>
      <c r="C61" s="1"/>
      <c r="D61" s="109"/>
      <c r="E61" s="110"/>
      <c r="F61" s="1"/>
      <c r="G61" s="1"/>
      <c r="H61" s="1"/>
      <c r="I61" s="1"/>
      <c r="J61" s="1"/>
      <c r="K61" s="24"/>
      <c r="L61" s="24"/>
      <c r="M61" s="24"/>
      <c r="N61" s="24"/>
      <c r="O61" s="24"/>
      <c r="P61" s="24"/>
    </row>
    <row r="62" spans="1:64">
      <c r="A62" s="1"/>
      <c r="B62" s="1"/>
      <c r="C62" s="1"/>
      <c r="D62" s="109"/>
      <c r="E62" s="110"/>
      <c r="F62" s="1"/>
      <c r="G62" s="1"/>
      <c r="H62" s="1"/>
      <c r="I62" s="1"/>
      <c r="J62" s="1"/>
      <c r="K62" s="24"/>
      <c r="L62" s="24"/>
      <c r="M62" s="24"/>
      <c r="N62" s="24"/>
      <c r="O62" s="24"/>
      <c r="P62" s="24"/>
    </row>
    <row r="63" spans="1:64">
      <c r="A63" s="1"/>
      <c r="B63" s="5"/>
      <c r="C63" s="3" t="s">
        <v>108</v>
      </c>
      <c r="D63" s="5"/>
      <c r="E63" s="5"/>
      <c r="F63" s="5"/>
      <c r="G63" s="5"/>
      <c r="H63" s="5"/>
      <c r="I63" s="1"/>
      <c r="J63" s="1"/>
      <c r="K63" s="24"/>
      <c r="L63" s="24"/>
      <c r="M63" s="24"/>
      <c r="N63" s="24"/>
      <c r="O63" s="24"/>
      <c r="P63" s="24"/>
    </row>
    <row r="64" spans="1:64" ht="13.1">
      <c r="A64" s="1"/>
      <c r="B64" s="111"/>
      <c r="C64" s="111"/>
      <c r="D64" s="112" t="s">
        <v>109</v>
      </c>
      <c r="E64" s="113" t="s">
        <v>110</v>
      </c>
      <c r="F64" s="1"/>
      <c r="G64" s="1"/>
      <c r="H64" s="1"/>
      <c r="I64" s="1"/>
      <c r="J64" s="1"/>
      <c r="K64" s="24"/>
      <c r="L64" s="24"/>
      <c r="M64" s="24"/>
      <c r="N64" s="24"/>
      <c r="O64" s="24"/>
      <c r="P64" s="24"/>
    </row>
    <row r="65" spans="1:64">
      <c r="A65" s="1"/>
      <c r="B65" s="1">
        <v>432</v>
      </c>
      <c r="C65" s="1">
        <v>202201</v>
      </c>
      <c r="D65" s="1">
        <v>511004</v>
      </c>
      <c r="E65" s="114">
        <v>1000</v>
      </c>
      <c r="F65" s="1"/>
      <c r="G65" s="1"/>
      <c r="H65" s="1"/>
      <c r="I65" s="1"/>
      <c r="J65" s="1"/>
      <c r="K65" s="24"/>
      <c r="L65" s="24"/>
      <c r="M65" s="24"/>
      <c r="N65" s="24"/>
      <c r="O65" s="24"/>
      <c r="P65" s="24"/>
    </row>
    <row r="66" spans="1:64">
      <c r="A66" s="1"/>
      <c r="B66" s="1">
        <v>432</v>
      </c>
      <c r="C66" s="1">
        <v>202202</v>
      </c>
      <c r="D66" s="1">
        <v>511004</v>
      </c>
      <c r="E66" s="114">
        <v>1505</v>
      </c>
      <c r="F66" s="1"/>
      <c r="G66" s="1"/>
      <c r="H66" s="1"/>
      <c r="I66" s="1"/>
      <c r="J66" s="1"/>
      <c r="K66" s="24"/>
      <c r="L66" s="24"/>
      <c r="M66" s="24"/>
      <c r="N66" s="24"/>
      <c r="O66" s="24"/>
      <c r="P66" s="24"/>
    </row>
    <row r="67" spans="1:64">
      <c r="A67" s="1"/>
      <c r="B67" s="1">
        <v>432</v>
      </c>
      <c r="C67" s="1">
        <v>202203</v>
      </c>
      <c r="D67" s="1">
        <v>511004</v>
      </c>
      <c r="E67" s="114">
        <v>2321</v>
      </c>
      <c r="F67" s="1"/>
      <c r="G67" s="1"/>
      <c r="H67" s="1"/>
      <c r="I67" s="1"/>
      <c r="J67" s="1"/>
      <c r="K67" s="24"/>
      <c r="L67" s="24"/>
      <c r="M67" s="24"/>
      <c r="N67" s="24"/>
      <c r="O67" s="24"/>
      <c r="P67" s="24"/>
    </row>
    <row r="68" spans="1:64">
      <c r="A68" s="1"/>
      <c r="B68" s="1">
        <v>432</v>
      </c>
      <c r="C68" s="1">
        <v>202204</v>
      </c>
      <c r="D68" s="1">
        <v>511004</v>
      </c>
      <c r="E68" s="115">
        <v>2939</v>
      </c>
      <c r="F68" s="1"/>
      <c r="G68" s="1"/>
      <c r="H68" s="1"/>
      <c r="I68" s="1"/>
      <c r="J68" s="1"/>
      <c r="K68" s="24"/>
      <c r="L68" s="24"/>
      <c r="M68" s="24"/>
      <c r="N68" s="24"/>
      <c r="O68" s="24"/>
      <c r="P68" s="24"/>
    </row>
    <row r="69" spans="1:64">
      <c r="A69" s="1"/>
      <c r="B69" s="1">
        <v>432</v>
      </c>
      <c r="C69" s="1">
        <v>202205</v>
      </c>
      <c r="D69" s="1">
        <v>511004</v>
      </c>
      <c r="E69" s="116">
        <v>3355</v>
      </c>
      <c r="F69" s="1"/>
      <c r="G69" s="1"/>
      <c r="H69" s="1"/>
      <c r="I69" s="1"/>
      <c r="J69" s="1"/>
      <c r="K69" s="24"/>
      <c r="L69" s="24"/>
      <c r="M69" s="24"/>
      <c r="N69" s="24"/>
      <c r="O69" s="24"/>
      <c r="P69" s="24"/>
    </row>
    <row r="70" spans="1:64">
      <c r="A70" s="1"/>
      <c r="B70" s="1">
        <v>432</v>
      </c>
      <c r="C70" s="1">
        <v>202206</v>
      </c>
      <c r="D70" s="1">
        <v>511004</v>
      </c>
      <c r="E70" s="117">
        <v>4405</v>
      </c>
      <c r="F70" s="1"/>
      <c r="G70" s="1"/>
      <c r="H70" s="1"/>
      <c r="I70" s="1"/>
      <c r="J70" s="1"/>
      <c r="K70" s="24"/>
      <c r="L70" s="24"/>
      <c r="M70" s="24"/>
      <c r="N70" s="24"/>
      <c r="O70" s="24"/>
      <c r="P70" s="24"/>
    </row>
    <row r="71" spans="1:64">
      <c r="A71" s="1"/>
      <c r="B71" s="1">
        <v>432</v>
      </c>
      <c r="C71" s="1">
        <v>202207</v>
      </c>
      <c r="D71" s="1">
        <v>511004</v>
      </c>
      <c r="E71" s="118">
        <v>5306</v>
      </c>
      <c r="F71" s="1"/>
      <c r="G71" s="1"/>
      <c r="H71" s="1"/>
      <c r="I71" s="1"/>
      <c r="J71" s="1"/>
      <c r="K71" s="24"/>
      <c r="L71" s="24"/>
      <c r="M71" s="24"/>
      <c r="N71" s="24"/>
      <c r="O71" s="24"/>
      <c r="P71" s="24"/>
    </row>
    <row r="72" spans="1:64">
      <c r="A72" s="1"/>
      <c r="B72" s="1">
        <v>432</v>
      </c>
      <c r="C72" s="1">
        <v>202208</v>
      </c>
      <c r="D72" s="1">
        <v>511004</v>
      </c>
      <c r="E72" s="118">
        <v>6076</v>
      </c>
      <c r="F72" s="119"/>
      <c r="G72" s="26"/>
      <c r="H72" s="1"/>
      <c r="I72" s="1"/>
      <c r="J72" s="1"/>
      <c r="K72" s="24"/>
      <c r="L72" s="24"/>
      <c r="M72" s="24"/>
      <c r="N72" s="24"/>
      <c r="O72" s="24"/>
      <c r="P72" s="24"/>
    </row>
    <row r="73" spans="1:64" s="27" customFormat="1">
      <c r="A73" s="1"/>
      <c r="B73" s="1">
        <v>432</v>
      </c>
      <c r="C73" s="1">
        <v>202209</v>
      </c>
      <c r="D73" s="1">
        <v>511004</v>
      </c>
      <c r="E73" s="118">
        <v>6400</v>
      </c>
      <c r="F73" s="119"/>
      <c r="G73" s="26"/>
      <c r="H73" s="1"/>
      <c r="I73" s="1"/>
      <c r="J73" s="1"/>
      <c r="K73" s="24"/>
      <c r="L73" s="24"/>
      <c r="M73" s="24"/>
      <c r="N73" s="24"/>
      <c r="O73" s="24"/>
      <c r="P73" s="24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</row>
    <row r="74" spans="1:64" s="27" customFormat="1">
      <c r="A74" s="1"/>
      <c r="B74" s="1">
        <v>432</v>
      </c>
      <c r="C74" s="1">
        <v>202210</v>
      </c>
      <c r="D74" s="1">
        <v>511004</v>
      </c>
      <c r="E74" s="118">
        <v>7381</v>
      </c>
      <c r="F74" s="119"/>
      <c r="G74" s="26"/>
      <c r="H74" s="1"/>
      <c r="I74" s="1"/>
      <c r="J74" s="1"/>
      <c r="K74" s="24"/>
      <c r="L74" s="24"/>
      <c r="M74" s="24"/>
      <c r="N74" s="24"/>
      <c r="O74" s="24"/>
      <c r="P74" s="24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</row>
    <row r="75" spans="1:64" s="27" customFormat="1">
      <c r="A75" s="1"/>
      <c r="B75" s="1">
        <v>432</v>
      </c>
      <c r="C75" s="1">
        <v>202211</v>
      </c>
      <c r="D75" s="1">
        <v>511004</v>
      </c>
      <c r="E75" s="118">
        <v>8701</v>
      </c>
      <c r="F75" s="119"/>
      <c r="G75" s="26"/>
      <c r="H75" s="1"/>
      <c r="I75" s="1"/>
      <c r="J75" s="1"/>
      <c r="K75" s="24"/>
      <c r="L75" s="24"/>
      <c r="M75" s="24"/>
      <c r="N75" s="24"/>
      <c r="O75" s="24"/>
      <c r="P75" s="24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</row>
    <row r="76" spans="1:64" s="27" customFormat="1">
      <c r="A76" s="1"/>
      <c r="B76" s="1">
        <v>432</v>
      </c>
      <c r="C76" s="1">
        <v>202212</v>
      </c>
      <c r="D76" s="1">
        <v>511004</v>
      </c>
      <c r="E76" s="118">
        <v>9589</v>
      </c>
      <c r="F76" s="119"/>
      <c r="G76" s="26"/>
      <c r="H76" s="1"/>
      <c r="I76" s="1"/>
      <c r="J76" s="1"/>
      <c r="K76" s="24"/>
      <c r="L76" s="24"/>
      <c r="M76" s="24"/>
      <c r="N76" s="24"/>
      <c r="O76" s="24"/>
      <c r="P76" s="24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</row>
    <row r="77" spans="1:64" s="27" customFormat="1">
      <c r="A77" s="1"/>
      <c r="B77" s="1"/>
      <c r="C77" s="1"/>
      <c r="D77" s="1"/>
      <c r="E77" s="1"/>
      <c r="F77" s="1"/>
      <c r="G77" s="1"/>
      <c r="H77" s="1"/>
      <c r="I77" s="1"/>
      <c r="J77" s="1"/>
      <c r="K77" s="24"/>
      <c r="L77" s="24"/>
      <c r="M77" s="24"/>
      <c r="N77" s="24"/>
      <c r="O77" s="24"/>
      <c r="P77" s="24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auxiliar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</dc:creator>
  <cp:lastModifiedBy>vn</cp:lastModifiedBy>
  <dcterms:created xsi:type="dcterms:W3CDTF">2025-11-20T17:03:11Z</dcterms:created>
  <dcterms:modified xsi:type="dcterms:W3CDTF">2025-11-20T17:03:57Z</dcterms:modified>
</cp:coreProperties>
</file>